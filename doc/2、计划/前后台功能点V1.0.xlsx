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2、计划\"/>
    </mc:Choice>
  </mc:AlternateContent>
  <bookViews>
    <workbookView xWindow="0" yWindow="0" windowWidth="19770" windowHeight="8370"/>
  </bookViews>
  <sheets>
    <sheet name="前台功能点" sheetId="1" r:id="rId1"/>
    <sheet name="后台功能点" sheetId="2" r:id="rId2"/>
  </sheets>
  <externalReferences>
    <externalReference r:id="rId3"/>
    <externalReference r:id="rId4"/>
    <externalReference r:id="rId5"/>
    <externalReference r:id="rId6"/>
    <externalReference r:id="rId7"/>
  </externalReferences>
  <definedNames>
    <definedName name="\a">#REF!</definedName>
    <definedName name="\i">#REF!</definedName>
    <definedName name="_xlnm._FilterDatabase" localSheetId="1" hidden="1">后台功能点!$B$6:$K$99</definedName>
    <definedName name="_xlnm._FilterDatabase" localSheetId="0" hidden="1">前台功能点!$C$6:$G$6</definedName>
    <definedName name="_Regression_X" hidden="1">#REF!</definedName>
    <definedName name="A">#REF!</definedName>
    <definedName name="CellSum当初MSK">[1]ＡＰ用山積表!$H$17</definedName>
    <definedName name="CellSum当初MTB">[1]ＡＰ用山積表!$H$16</definedName>
    <definedName name="CellSum当初投資">[1]ＡＰ用投資諸費!$D$6</definedName>
    <definedName name="CellSum当初以外">[1]ＡＰ用山積表!$H$25</definedName>
    <definedName name="CellSum当初諸費">[1]ＡＰ用投資諸費!$D$8</definedName>
    <definedName name="CellSum実績MSK">[1]ＡＰ用山積表!$H$49</definedName>
    <definedName name="CellSum実績MTB">[1]ＡＰ用山積表!$H$48</definedName>
    <definedName name="CellSum実績投資">[1]ＡＰ用投資諸費!$H$6</definedName>
    <definedName name="CellSum実績以外">[1]ＡＰ用山積表!$H$57</definedName>
    <definedName name="CellSum実績諸費">[1]ＡＰ用投資諸費!$H$8</definedName>
    <definedName name="CellSum修正MSK">[1]ＡＰ用山積表!$H$33</definedName>
    <definedName name="CellSum修正MTB">[1]ＡＰ用山積表!$H$32</definedName>
    <definedName name="CellSum修正投資">[1]ＡＰ用投資諸費!$F$6</definedName>
    <definedName name="CellSum修正以外">[1]ＡＰ用山積表!$H$41</definedName>
    <definedName name="CellSum修正諸費">[1]ＡＰ用投資諸費!$F$8</definedName>
    <definedName name="Cell報告">#REF!</definedName>
    <definedName name="Cell当初MSK">[1]ＡＰ用山積表!$P$17</definedName>
    <definedName name="Cell当初MTB">[1]ＡＰ用山積表!$P$16</definedName>
    <definedName name="Cell当初投資">[1]ＡＰ用投資諸費!$D$11</definedName>
    <definedName name="Cell当初以外">[1]ＡＰ用山積表!$P$18</definedName>
    <definedName name="Cell当初諸費">[1]ＡＰ用投資諸費!$D$31</definedName>
    <definedName name="Cell進捗">#REF!</definedName>
    <definedName name="Cell開始開発">'[2]#REF'!$F$21</definedName>
    <definedName name="Cell日付">#REF!</definedName>
    <definedName name="Cell実績">#REF!</definedName>
    <definedName name="Cell実績MSK">[1]ＡＰ用山積表!$P$49</definedName>
    <definedName name="Cell実績MTB">[1]ＡＰ用山積表!$P$48</definedName>
    <definedName name="Cell実績投資">[1]ＡＰ用投資諸費!$J$6</definedName>
    <definedName name="Cell実績以外">[1]ＡＰ用山積表!$P$50</definedName>
    <definedName name="Cell実績諸費">[1]ＡＰ用投資諸費!$J$8</definedName>
    <definedName name="Cell項目">#REF!</definedName>
    <definedName name="Cell修正MSK">[1]ＡＰ用山積表!$P$33</definedName>
    <definedName name="Cell修正MTB">[1]ＡＰ用山積表!$P$32</definedName>
    <definedName name="Cell修正投資">[1]ＡＰ用投資諸費!$F$11</definedName>
    <definedName name="Cell修正以外">[1]ＡＰ用山積表!$P$34</definedName>
    <definedName name="Cell修正諸費">[1]ＡＰ用投資諸費!$F$31</definedName>
    <definedName name="Cell予定">#REF!</definedName>
    <definedName name="Cell総進捗">#REF!</definedName>
    <definedName name="Cell総完了数">#REF!</definedName>
    <definedName name="Cell総予定数">#REF!</definedName>
    <definedName name="DefectTypesDatabaseRange">[3]DefectTypes!$A$1:$B$11</definedName>
    <definedName name="effort.ta">'[4]General Information'!#REF!</definedName>
    <definedName name="GoalsDatabaseRange">[3]Goals!$A$2:$F$2</definedName>
    <definedName name="IRTLDatabaseRange">[3]IRTL!$A$6:$K$6</definedName>
    <definedName name="LOGDDatabaseRange">[3]LOGD!$A$6:$L$6</definedName>
    <definedName name="LOGTDatabaseRange">[3]LOGT!$A$6:$I$6</definedName>
    <definedName name="PhasesDatabaseRange">[3]Phases!$A$1:$E$25</definedName>
    <definedName name="ProductKind">[5]定义!$E$4:$E$23</definedName>
    <definedName name="ScheduleDatabaseRange">[3]Schedule!$A$7:$AR$7</definedName>
    <definedName name="size.ta">'[4]General Information'!#REF!</definedName>
    <definedName name="StaffName">[5]定义!$D$4:$D$103</definedName>
    <definedName name="SUMSDatabaseRange">[3]SUMS!$A$7:$ER$19</definedName>
    <definedName name="TaskDatabaseRange">[3]Task!$A$7:$AL$7</definedName>
    <definedName name="TeamDatabaseRange">[3]Team!$A$1:$I$1</definedName>
    <definedName name="あ">#REF!</definedName>
    <definedName name="ああ">#REF!</definedName>
    <definedName name="てすと">#REF!</definedName>
    <definedName name="リスク管理票Ｎ">#REF!</definedName>
    <definedName name="作業項目2">#REF!</definedName>
  </definedNames>
  <calcPr calcId="152511"/>
</workbook>
</file>

<file path=xl/calcChain.xml><?xml version="1.0" encoding="utf-8"?>
<calcChain xmlns="http://schemas.openxmlformats.org/spreadsheetml/2006/main">
  <c r="K98" i="2" l="1"/>
  <c r="K86" i="2"/>
  <c r="K85" i="2"/>
  <c r="K84" i="2"/>
  <c r="K83" i="2"/>
  <c r="K82" i="2"/>
  <c r="K81" i="2"/>
  <c r="K80" i="2"/>
  <c r="K79" i="2"/>
  <c r="K78" i="2"/>
  <c r="K74" i="2"/>
  <c r="K73" i="2"/>
  <c r="K72" i="2"/>
  <c r="K71" i="2"/>
  <c r="K70" i="2"/>
  <c r="K66" i="2"/>
  <c r="K65" i="2"/>
  <c r="K64" i="2"/>
  <c r="K63" i="2"/>
  <c r="K62" i="2"/>
  <c r="K58" i="2"/>
  <c r="K57" i="2"/>
  <c r="K56" i="2"/>
  <c r="K53" i="2"/>
  <c r="K52" i="2"/>
  <c r="K51" i="2"/>
  <c r="K50" i="2"/>
  <c r="K49" i="2"/>
  <c r="K47" i="2"/>
  <c r="K46" i="2"/>
  <c r="K42" i="2"/>
  <c r="K41" i="2"/>
  <c r="K40" i="2"/>
  <c r="K37" i="2"/>
  <c r="K36" i="2"/>
  <c r="K35" i="2"/>
  <c r="K34" i="2"/>
  <c r="K33" i="2"/>
  <c r="K32" i="2"/>
  <c r="K31" i="2"/>
  <c r="K29" i="2"/>
  <c r="K28" i="2"/>
  <c r="K27" i="2"/>
  <c r="K26" i="2"/>
  <c r="K25" i="2"/>
  <c r="K24" i="2"/>
  <c r="K23" i="2"/>
  <c r="K22" i="2"/>
  <c r="K21" i="2"/>
  <c r="Q20" i="2"/>
  <c r="O23" i="2" s="1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</calcChain>
</file>

<file path=xl/comments1.xml><?xml version="1.0" encoding="utf-8"?>
<comments xmlns="http://schemas.openxmlformats.org/spreadsheetml/2006/main">
  <authors>
    <author>作者</author>
  </authors>
  <commentList>
    <comment ref="Q5" authorId="0" shapeId="0">
      <text>
        <r>
          <rPr>
            <b/>
            <sz val="9"/>
            <rFont val="宋体"/>
            <family val="3"/>
            <charset val="134"/>
          </rPr>
          <t xml:space="preserve">影响程度：
</t>
        </r>
        <r>
          <rPr>
            <b/>
            <sz val="9"/>
            <rFont val="宋体"/>
            <family val="3"/>
            <charset val="134"/>
          </rPr>
          <t xml:space="preserve">0：没有影响
</t>
        </r>
        <r>
          <rPr>
            <b/>
            <sz val="9"/>
            <rFont val="宋体"/>
            <family val="3"/>
            <charset val="134"/>
          </rPr>
          <t xml:space="preserve">1：偶然影响
</t>
        </r>
        <r>
          <rPr>
            <b/>
            <sz val="9"/>
            <rFont val="宋体"/>
            <family val="3"/>
            <charset val="134"/>
          </rPr>
          <t xml:space="preserve">2：适度
</t>
        </r>
        <r>
          <rPr>
            <b/>
            <sz val="9"/>
            <rFont val="宋体"/>
            <family val="3"/>
            <charset val="134"/>
          </rPr>
          <t xml:space="preserve">3：平均
</t>
        </r>
        <r>
          <rPr>
            <b/>
            <sz val="9"/>
            <rFont val="宋体"/>
            <family val="3"/>
            <charset val="134"/>
          </rPr>
          <t xml:space="preserve">4：重大
</t>
        </r>
        <r>
          <rPr>
            <b/>
            <sz val="9"/>
            <rFont val="宋体"/>
            <family val="3"/>
            <charset val="134"/>
          </rPr>
          <t>5：严重</t>
        </r>
      </text>
    </comment>
  </commentList>
</comments>
</file>

<file path=xl/sharedStrings.xml><?xml version="1.0" encoding="utf-8"?>
<sst xmlns="http://schemas.openxmlformats.org/spreadsheetml/2006/main" count="379" uniqueCount="210">
  <si>
    <t>悦耳产品前台功能点</t>
  </si>
  <si>
    <t>WPS横向分解</t>
  </si>
  <si>
    <t>功能模块</t>
  </si>
  <si>
    <t>功能</t>
  </si>
  <si>
    <t>二级功能</t>
  </si>
  <si>
    <t>三级功能</t>
  </si>
  <si>
    <t>备注</t>
  </si>
  <si>
    <t>导航栏</t>
  </si>
  <si>
    <t>头像</t>
  </si>
  <si>
    <t>昵称</t>
  </si>
  <si>
    <t>登录</t>
  </si>
  <si>
    <t>自动登录</t>
  </si>
  <si>
    <t>修改密码</t>
  </si>
  <si>
    <t>返回</t>
  </si>
  <si>
    <t>前进</t>
  </si>
  <si>
    <t>刷新</t>
  </si>
  <si>
    <t>搜索</t>
  </si>
  <si>
    <t>时段</t>
  </si>
  <si>
    <t>凌晨</t>
  </si>
  <si>
    <t>晨醒</t>
  </si>
  <si>
    <t>上午</t>
  </si>
  <si>
    <t>中午</t>
  </si>
  <si>
    <t>下午</t>
  </si>
  <si>
    <t>日落</t>
  </si>
  <si>
    <t>晚间</t>
  </si>
  <si>
    <t>午夜</t>
  </si>
  <si>
    <t>日期</t>
  </si>
  <si>
    <t>设置</t>
  </si>
  <si>
    <t>窗口总在最前</t>
  </si>
  <si>
    <t>开机启动播放</t>
  </si>
  <si>
    <t>恢复频道</t>
  </si>
  <si>
    <t>检查更新</t>
  </si>
  <si>
    <t>退出登录</t>
  </si>
  <si>
    <t>退出软件</t>
  </si>
  <si>
    <t>小化</t>
  </si>
  <si>
    <t>放大</t>
  </si>
  <si>
    <t>关闭</t>
  </si>
  <si>
    <t>我的管理</t>
  </si>
  <si>
    <t>我的店铺</t>
  </si>
  <si>
    <t>我的盒子</t>
  </si>
  <si>
    <t>我的收藏</t>
  </si>
  <si>
    <t>歌曲列表</t>
  </si>
  <si>
    <t>播放全部</t>
  </si>
  <si>
    <t>频道列表</t>
  </si>
  <si>
    <t>批量删除</t>
  </si>
  <si>
    <t>播放计划</t>
  </si>
  <si>
    <t>节日计划</t>
  </si>
  <si>
    <t>节日名称</t>
  </si>
  <si>
    <t>开始时间</t>
  </si>
  <si>
    <t>结束时间</t>
  </si>
  <si>
    <t>时段时间</t>
  </si>
  <si>
    <t>主题计划</t>
  </si>
  <si>
    <t>风格计划</t>
  </si>
  <si>
    <t>插播计划</t>
  </si>
  <si>
    <t>语音条名称</t>
  </si>
  <si>
    <t>时长</t>
  </si>
  <si>
    <t>播放日期</t>
  </si>
  <si>
    <t>播放时间</t>
  </si>
  <si>
    <t>重复时间</t>
  </si>
  <si>
    <t>循环次数</t>
  </si>
  <si>
    <t>场景业态</t>
  </si>
  <si>
    <t>试听（一级行业）</t>
  </si>
  <si>
    <t>购买后（末级行业）</t>
  </si>
  <si>
    <t>主题</t>
  </si>
  <si>
    <t>频道名称</t>
  </si>
  <si>
    <t>频道简介</t>
  </si>
  <si>
    <t>单曲数量</t>
  </si>
  <si>
    <t>频道播放次数</t>
  </si>
  <si>
    <t>收藏频道</t>
  </si>
  <si>
    <t>歌名</t>
  </si>
  <si>
    <t>歌手</t>
  </si>
  <si>
    <t>专辑</t>
  </si>
  <si>
    <t>收藏单曲</t>
  </si>
  <si>
    <t>删除单曲</t>
  </si>
  <si>
    <t>风格</t>
  </si>
  <si>
    <t>节日</t>
  </si>
  <si>
    <t>MV</t>
  </si>
  <si>
    <t>播放器</t>
  </si>
  <si>
    <t>上一首</t>
  </si>
  <si>
    <t>下一首</t>
  </si>
  <si>
    <t>播放暂停</t>
  </si>
  <si>
    <t>频道图片</t>
  </si>
  <si>
    <t>时段显示</t>
  </si>
  <si>
    <t>歌曲播放时间</t>
  </si>
  <si>
    <t>歌曲名字</t>
  </si>
  <si>
    <t>单曲音量调节</t>
  </si>
  <si>
    <t>人声选择</t>
  </si>
  <si>
    <t>男</t>
  </si>
  <si>
    <t>女</t>
  </si>
  <si>
    <t>男女合唱</t>
  </si>
  <si>
    <t>播放队列</t>
  </si>
  <si>
    <t>清除整个队列</t>
  </si>
  <si>
    <t>单曲歌名</t>
  </si>
  <si>
    <t>单曲时长</t>
  </si>
  <si>
    <t>播放</t>
  </si>
  <si>
    <t>计算未调整的功能点（UFP)</t>
  </si>
  <si>
    <t>WBS横向分解</t>
  </si>
  <si>
    <t xml:space="preserve"> 适配项目类型：通用</t>
  </si>
  <si>
    <t>计算调整因子（VAF）</t>
  </si>
  <si>
    <t>项目进度计划</t>
  </si>
  <si>
    <t>版本：</t>
  </si>
  <si>
    <t>序号</t>
  </si>
  <si>
    <t>系统特征值类型</t>
  </si>
  <si>
    <t>得分(0-5)</t>
  </si>
  <si>
    <t>理由/备注</t>
  </si>
  <si>
    <t>系统</t>
  </si>
  <si>
    <t>子系统</t>
  </si>
  <si>
    <t>复杂度</t>
  </si>
  <si>
    <t>功能类型</t>
  </si>
  <si>
    <t>功能点数</t>
  </si>
  <si>
    <t>数据通讯</t>
  </si>
  <si>
    <t>悦耳后台管理系统（后台）</t>
  </si>
  <si>
    <t>系统管理</t>
  </si>
  <si>
    <t>用户管理</t>
  </si>
  <si>
    <t>用户信息表</t>
  </si>
  <si>
    <t>简单</t>
  </si>
  <si>
    <t>ILF</t>
  </si>
  <si>
    <t>分布式数据处理</t>
  </si>
  <si>
    <t>用户添加</t>
  </si>
  <si>
    <t>EI</t>
  </si>
  <si>
    <t>性能</t>
  </si>
  <si>
    <t>用户删除</t>
  </si>
  <si>
    <t>配置负载</t>
  </si>
  <si>
    <t>用户信息修改</t>
  </si>
  <si>
    <t>交易处理量</t>
  </si>
  <si>
    <t>用户信息查询</t>
  </si>
  <si>
    <t>EO</t>
  </si>
  <si>
    <t>在线数据输入</t>
  </si>
  <si>
    <t>权限管理</t>
  </si>
  <si>
    <t>权限信息表</t>
  </si>
  <si>
    <t>用户界面友好程度</t>
  </si>
  <si>
    <t>新增</t>
  </si>
  <si>
    <t>数据在线更新</t>
  </si>
  <si>
    <t>删除</t>
  </si>
  <si>
    <t>算法</t>
  </si>
  <si>
    <t>修改</t>
  </si>
  <si>
    <t>可重用性</t>
  </si>
  <si>
    <t>查询</t>
  </si>
  <si>
    <t>易安装性</t>
  </si>
  <si>
    <t>角色设置</t>
  </si>
  <si>
    <t>角色信息表</t>
  </si>
  <si>
    <t>易操作性</t>
  </si>
  <si>
    <t>多点运行</t>
  </si>
  <si>
    <t>客户化程度</t>
  </si>
  <si>
    <t>总分</t>
  </si>
  <si>
    <t>计算调整后的功能点（FP）</t>
  </si>
  <si>
    <t>AFP=UAFP*（0.65+0.01*VAF）</t>
  </si>
  <si>
    <t>密码修改</t>
  </si>
  <si>
    <t>密码信息表</t>
  </si>
  <si>
    <t>VFP</t>
  </si>
  <si>
    <t>日志管理</t>
  </si>
  <si>
    <t>日志信息表</t>
  </si>
  <si>
    <t>生成</t>
  </si>
  <si>
    <t>导出</t>
  </si>
  <si>
    <t>频道管理</t>
  </si>
  <si>
    <t>子频道管理</t>
  </si>
  <si>
    <t>子频道信息表</t>
  </si>
  <si>
    <t>普通</t>
  </si>
  <si>
    <t>子频道新增</t>
  </si>
  <si>
    <t>计划制定</t>
  </si>
  <si>
    <t>歌曲查询</t>
  </si>
  <si>
    <t>歌曲添加</t>
  </si>
  <si>
    <t>歌曲删除</t>
  </si>
  <si>
    <t>歌曲音量</t>
  </si>
  <si>
    <t>复杂</t>
  </si>
  <si>
    <t>EIF</t>
  </si>
  <si>
    <t>歌曲试听</t>
  </si>
  <si>
    <t>子频道修改</t>
  </si>
  <si>
    <t>子频道查询</t>
  </si>
  <si>
    <t>歌曲排序</t>
  </si>
  <si>
    <t>歌单导出</t>
  </si>
  <si>
    <t>子频道删除</t>
  </si>
  <si>
    <t>组合频道管理</t>
  </si>
  <si>
    <t>组合频道信息表</t>
  </si>
  <si>
    <t>组合频道新增</t>
  </si>
  <si>
    <t>子频道添加</t>
  </si>
  <si>
    <t>组合频道修改</t>
  </si>
  <si>
    <t>组合频道查询</t>
  </si>
  <si>
    <t>组合频道删除</t>
  </si>
  <si>
    <t>曲库管理</t>
  </si>
  <si>
    <t>曲库信息表</t>
  </si>
  <si>
    <t>歌曲上传</t>
  </si>
  <si>
    <t>信息修改</t>
  </si>
  <si>
    <t>歌曲下载</t>
  </si>
  <si>
    <t>行业管理</t>
  </si>
  <si>
    <t>行业信息表</t>
  </si>
  <si>
    <t>行业添加</t>
  </si>
  <si>
    <t>三级树形结构</t>
  </si>
  <si>
    <t>频道查询</t>
  </si>
  <si>
    <t>频道添加</t>
  </si>
  <si>
    <t>频道删除</t>
  </si>
  <si>
    <t>行业修改</t>
  </si>
  <si>
    <t>行业查询</t>
  </si>
  <si>
    <t>行业删除</t>
  </si>
  <si>
    <t>客户管理</t>
  </si>
  <si>
    <t>客户信息管理</t>
  </si>
  <si>
    <t>客户信息表</t>
  </si>
  <si>
    <t>客户新增</t>
  </si>
  <si>
    <t>客户查询</t>
  </si>
  <si>
    <t>客户修改</t>
  </si>
  <si>
    <t>播放统计</t>
  </si>
  <si>
    <t>EQ</t>
  </si>
  <si>
    <t>客户插播管理</t>
  </si>
  <si>
    <t>插播信息表</t>
  </si>
  <si>
    <t>插播查询</t>
  </si>
  <si>
    <t>插播录音上传</t>
  </si>
  <si>
    <t>插播计划制定</t>
  </si>
  <si>
    <t>插播音乐删除</t>
  </si>
  <si>
    <t>插播计划删除</t>
  </si>
  <si>
    <t>插播计划暂停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</si>
</sst>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_-&quot;NT$&quot;* #,##0_-;\-&quot;NT$&quot;* #,##0_-;_-&quot;NT$&quot;* &quot;-&quot;_-;_-@_-"/>
  </numFmts>
  <fonts count="33">
    <font>
      <sz val="12"/>
      <name val="宋体"/>
      <charset val="134"/>
    </font>
    <font>
      <sz val="10"/>
      <name val="宋体"/>
      <family val="3"/>
      <charset val="134"/>
    </font>
    <font>
      <b/>
      <sz val="8"/>
      <name val="微软雅黑"/>
      <family val="2"/>
      <charset val="134"/>
    </font>
    <font>
      <b/>
      <sz val="8"/>
      <color theme="0"/>
      <name val="微软雅黑"/>
      <family val="2"/>
      <charset val="134"/>
    </font>
    <font>
      <sz val="8"/>
      <name val="微软雅黑"/>
      <family val="2"/>
      <charset val="134"/>
    </font>
    <font>
      <sz val="8"/>
      <name val="宋体"/>
      <family val="3"/>
      <charset val="134"/>
    </font>
    <font>
      <sz val="12"/>
      <name val="微软雅黑"/>
      <family val="2"/>
      <charset val="134"/>
    </font>
    <font>
      <sz val="12"/>
      <color theme="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4"/>
      <name val="ＭＳ ゴシック"/>
      <charset val="134"/>
    </font>
    <font>
      <b/>
      <sz val="11"/>
      <color indexed="52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0"/>
      <name val="宋体"/>
      <family val="3"/>
      <charset val="134"/>
    </font>
    <font>
      <sz val="10"/>
      <name val="Helv"/>
      <family val="2"/>
    </font>
    <font>
      <sz val="12"/>
      <name val="宋体"/>
      <family val="3"/>
      <charset val="134"/>
    </font>
    <font>
      <sz val="11"/>
      <color indexed="52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name val="ＭＳ Ｐゴシック"/>
      <charset val="134"/>
    </font>
    <font>
      <sz val="11"/>
      <color indexed="2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sz val="10"/>
      <name val="Arial"/>
      <family val="2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</borders>
  <cellStyleXfs count="54">
    <xf numFmtId="0" fontId="0" fillId="0" borderId="0"/>
    <xf numFmtId="0" fontId="8" fillId="8" borderId="0" applyNumberFormat="0" applyBorder="0" applyAlignment="0" applyProtection="0">
      <alignment vertical="center"/>
    </xf>
    <xf numFmtId="0" fontId="11" fillId="10" borderId="13" applyNumberForma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2" fillId="10" borderId="14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0" borderId="0"/>
    <xf numFmtId="0" fontId="8" fillId="1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5" fillId="0" borderId="0"/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/>
    <xf numFmtId="0" fontId="22" fillId="12" borderId="0" applyNumberFormat="0" applyBorder="0" applyAlignment="0" applyProtection="0">
      <alignment vertical="center"/>
    </xf>
    <xf numFmtId="0" fontId="23" fillId="0" borderId="0">
      <alignment vertical="center"/>
    </xf>
    <xf numFmtId="0" fontId="15" fillId="0" borderId="0"/>
    <xf numFmtId="0" fontId="24" fillId="18" borderId="0" applyNumberFormat="0" applyBorder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176" fontId="26" fillId="0" borderId="0" applyFont="0" applyFill="0" applyBorder="0" applyAlignment="0" applyProtection="0"/>
    <xf numFmtId="0" fontId="27" fillId="28" borderId="21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30" fillId="16" borderId="13" applyNumberFormat="0" applyAlignment="0" applyProtection="0">
      <alignment vertical="center"/>
    </xf>
    <xf numFmtId="0" fontId="10" fillId="0" borderId="12"/>
    <xf numFmtId="0" fontId="10" fillId="0" borderId="12"/>
    <xf numFmtId="0" fontId="10" fillId="0" borderId="12"/>
    <xf numFmtId="0" fontId="10" fillId="0" borderId="12"/>
    <xf numFmtId="0" fontId="10" fillId="0" borderId="12"/>
    <xf numFmtId="0" fontId="14" fillId="0" borderId="0"/>
    <xf numFmtId="0" fontId="15" fillId="24" borderId="15" applyNumberFormat="0" applyFont="0" applyAlignment="0" applyProtection="0">
      <alignment vertical="center"/>
    </xf>
  </cellStyleXfs>
  <cellXfs count="39">
    <xf numFmtId="0" fontId="0" fillId="0" borderId="0" xfId="0"/>
    <xf numFmtId="0" fontId="1" fillId="2" borderId="0" xfId="31" applyFont="1" applyFill="1" applyAlignment="1"/>
    <xf numFmtId="0" fontId="1" fillId="2" borderId="1" xfId="31" applyFont="1" applyFill="1" applyBorder="1" applyAlignment="1"/>
    <xf numFmtId="0" fontId="1" fillId="2" borderId="0" xfId="31" applyFont="1" applyFill="1" applyBorder="1" applyAlignment="1"/>
    <xf numFmtId="0" fontId="2" fillId="0" borderId="2" xfId="31" applyFont="1" applyFill="1" applyBorder="1" applyAlignment="1">
      <alignment horizontal="center" vertical="center"/>
    </xf>
    <xf numFmtId="0" fontId="4" fillId="0" borderId="2" xfId="31" applyFont="1" applyFill="1" applyBorder="1" applyAlignment="1">
      <alignment horizontal="center" vertical="center"/>
    </xf>
    <xf numFmtId="0" fontId="2" fillId="0" borderId="2" xfId="31" applyFont="1" applyFill="1" applyBorder="1" applyAlignment="1">
      <alignment vertical="center"/>
    </xf>
    <xf numFmtId="0" fontId="2" fillId="3" borderId="2" xfId="31" applyFont="1" applyFill="1" applyBorder="1" applyAlignment="1">
      <alignment vertical="center"/>
    </xf>
    <xf numFmtId="0" fontId="2" fillId="4" borderId="2" xfId="31" applyFont="1" applyFill="1" applyBorder="1" applyAlignment="1">
      <alignment horizontal="center" vertical="center"/>
    </xf>
    <xf numFmtId="0" fontId="2" fillId="0" borderId="2" xfId="31" applyFont="1" applyFill="1" applyBorder="1" applyAlignment="1"/>
    <xf numFmtId="0" fontId="4" fillId="6" borderId="2" xfId="31" applyFont="1" applyFill="1" applyBorder="1" applyAlignment="1">
      <alignment horizontal="center" vertical="center"/>
    </xf>
    <xf numFmtId="0" fontId="5" fillId="2" borderId="0" xfId="31" applyFont="1" applyFill="1" applyAlignment="1"/>
    <xf numFmtId="0" fontId="5" fillId="0" borderId="2" xfId="31" applyFont="1" applyFill="1" applyBorder="1" applyAlignment="1">
      <alignment horizontal="center"/>
    </xf>
    <xf numFmtId="0" fontId="2" fillId="0" borderId="0" xfId="31" applyFont="1" applyFill="1" applyBorder="1" applyAlignment="1">
      <alignment horizontal="center" vertical="center"/>
    </xf>
    <xf numFmtId="0" fontId="5" fillId="0" borderId="0" xfId="3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2" fillId="3" borderId="2" xfId="31" applyFont="1" applyFill="1" applyBorder="1" applyAlignment="1">
      <alignment horizontal="left" vertical="center"/>
    </xf>
    <xf numFmtId="0" fontId="3" fillId="4" borderId="2" xfId="31" applyFont="1" applyFill="1" applyBorder="1" applyAlignment="1">
      <alignment horizontal="center" vertical="center"/>
    </xf>
    <xf numFmtId="0" fontId="2" fillId="5" borderId="3" xfId="31" applyFont="1" applyFill="1" applyBorder="1" applyAlignment="1">
      <alignment horizontal="left"/>
    </xf>
    <xf numFmtId="0" fontId="5" fillId="5" borderId="4" xfId="31" applyFont="1" applyFill="1" applyBorder="1" applyAlignment="1">
      <alignment horizontal="left"/>
    </xf>
    <xf numFmtId="0" fontId="2" fillId="3" borderId="2" xfId="31" applyFont="1" applyFill="1" applyBorder="1" applyAlignment="1">
      <alignment horizontal="center" vertical="center"/>
    </xf>
    <xf numFmtId="0" fontId="2" fillId="4" borderId="2" xfId="31" applyFont="1" applyFill="1" applyBorder="1" applyAlignment="1">
      <alignment horizontal="center" vertical="center"/>
    </xf>
    <xf numFmtId="0" fontId="2" fillId="0" borderId="2" xfId="31" applyFont="1" applyFill="1" applyBorder="1" applyAlignment="1">
      <alignment horizontal="center" vertical="center"/>
    </xf>
    <xf numFmtId="0" fontId="4" fillId="0" borderId="2" xfId="31" applyFont="1" applyFill="1" applyBorder="1" applyAlignment="1">
      <alignment horizontal="center" vertical="center"/>
    </xf>
    <xf numFmtId="0" fontId="2" fillId="0" borderId="3" xfId="31" applyFont="1" applyFill="1" applyBorder="1" applyAlignment="1">
      <alignment horizontal="center" vertical="center"/>
    </xf>
    <xf numFmtId="0" fontId="2" fillId="0" borderId="4" xfId="31" applyFont="1" applyFill="1" applyBorder="1" applyAlignment="1">
      <alignment horizontal="center" vertical="center"/>
    </xf>
    <xf numFmtId="0" fontId="2" fillId="0" borderId="5" xfId="31" applyFont="1" applyFill="1" applyBorder="1" applyAlignment="1">
      <alignment horizontal="center" vertical="center"/>
    </xf>
  </cellXfs>
  <cellStyles count="54">
    <cellStyle name="20% - 强调文字颜色 1 2" xfId="1"/>
    <cellStyle name="20% - 强调文字颜色 2 2" xfId="11"/>
    <cellStyle name="20% - 强调文字颜色 3 2" xfId="12"/>
    <cellStyle name="20% - 强调文字颜色 4 2" xfId="14"/>
    <cellStyle name="20% - 强调文字颜色 5 2" xfId="15"/>
    <cellStyle name="20% - 强调文字颜色 6 2" xfId="16"/>
    <cellStyle name="40% - 强调文字颜色 1 2" xfId="4"/>
    <cellStyle name="40% - 强调文字颜色 2 2" xfId="5"/>
    <cellStyle name="40% - 强调文字颜色 3 2" xfId="17"/>
    <cellStyle name="40% - 强调文字颜色 4 2" xfId="3"/>
    <cellStyle name="40% - 强调文字颜色 5 2" xfId="6"/>
    <cellStyle name="40% - 强调文字颜色 6 2" xfId="10"/>
    <cellStyle name="60% - 强调文字颜色 1 2" xfId="18"/>
    <cellStyle name="60% - 强调文字颜色 2 2" xfId="19"/>
    <cellStyle name="60% - 强调文字颜色 3 2" xfId="20"/>
    <cellStyle name="60% - 强调文字颜色 4 2" xfId="7"/>
    <cellStyle name="60% - 强调文字颜色 5 2" xfId="21"/>
    <cellStyle name="60% - 强调文字颜色 6 2" xfId="22"/>
    <cellStyle name="Normal_5cap项目监控数据表20040723" xfId="23"/>
    <cellStyle name="标题 1 2" xfId="24"/>
    <cellStyle name="标题 2 2" xfId="25"/>
    <cellStyle name="标题 3 2" xfId="26"/>
    <cellStyle name="标题 4 2" xfId="27"/>
    <cellStyle name="标题 5" xfId="28"/>
    <cellStyle name="標準_1-1ＱＭＳ改善案" xfId="29"/>
    <cellStyle name="差 2" xfId="30"/>
    <cellStyle name="常规" xfId="0" builtinId="0"/>
    <cellStyle name="常规 2" xfId="31"/>
    <cellStyle name="常规 3" xfId="13"/>
    <cellStyle name="常规 4" xfId="32"/>
    <cellStyle name="好 2" xfId="33"/>
    <cellStyle name="汇总 2" xfId="34"/>
    <cellStyle name="貨幣[0]_laroux" xfId="35"/>
    <cellStyle name="计算 2" xfId="2"/>
    <cellStyle name="检查单元格 2" xfId="36"/>
    <cellStyle name="解释性文本 2" xfId="37"/>
    <cellStyle name="警告文本 2" xfId="38"/>
    <cellStyle name="链接单元格 2" xfId="39"/>
    <cellStyle name="强调文字颜色 1 2" xfId="40"/>
    <cellStyle name="强调文字颜色 2 2" xfId="41"/>
    <cellStyle name="强调文字颜色 3 2" xfId="42"/>
    <cellStyle name="强调文字颜色 4 2" xfId="43"/>
    <cellStyle name="强调文字颜色 5 2" xfId="44"/>
    <cellStyle name="强调文字颜色 6 2" xfId="45"/>
    <cellStyle name="适中 2" xfId="9"/>
    <cellStyle name="输出 2" xfId="8"/>
    <cellStyle name="输入 2" xfId="46"/>
    <cellStyle name="鵜" xfId="47"/>
    <cellStyle name="鵜_Template_项目计划" xfId="48"/>
    <cellStyle name="鵜_Template_项目计划_PE_项目计划模板（V1.1修改）" xfId="49"/>
    <cellStyle name="鵜_Template_项目计划_PE_项目计划模板（V1.1修改）_项目计划书模板" xfId="50"/>
    <cellStyle name="鵜_Template_项目计划_项目计划书模板" xfId="51"/>
    <cellStyle name="样式 1" xfId="52"/>
    <cellStyle name="注释 2" xfId="53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mmsrv01\cmm\WINDOWS\&#65411;&#65438;&#65405;&#65400;&#65412;&#65391;&#65420;&#65439;\BackUp990830\&#23665;&#31309;&#34920;\&#23436;&#25104;&#21697;\&#23436;&#25104;&#21697;\AP&#29992;&#23665;&#31309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dd009\&#26989;&#21209;&#31532;&#65298;&#12503;&#12525;&#12472;&#12455;&#12463;&#12488;\&#65298;&#26376;&#26411;&#35211;&#31309;&#12426;&#38598;&#35336;\&#65299;&#26376;&#65299;&#26085;&#38598;&#35336;\&#25552;&#31034;&#29992;\20010305_&#21930;&#22833;&#27231;&#33021;&#20877;&#38598;&#353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raining\PSP&amp;TSP\2dTSP\TSP%20Workbook.200412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jacky\CMM&#21672;&#35810;\&#21271;&#20140;&#29992;&#21451;\&#25991;&#26723;\02pm_&#39033;&#30446;&#31649;&#29702;&#36807;&#31243;\02PM_&#39033;&#30446;&#31649;&#29702;&#36807;&#31243;\PM03CTRL_&#39033;&#30446;&#30417;&#25511;\template\Neu\Project%20Summary%20Repor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zhy\CMMI\OSSP\3.&#31649;&#29702;&#27169;&#26495;\VAIO_&#39033;&#30446;&#35745;&#21010;-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Ｐ用山積表"/>
      <sheetName val="ＡＰ用投資諸費"/>
      <sheetName val="技术评审记录一览"/>
      <sheetName val="项目计划评审1"/>
      <sheetName val="SH06F040"/>
      <sheetName val="SH06F010_2_S"/>
      <sheetName val="SH06F010"/>
      <sheetName val="项目计划评审2"/>
      <sheetName val="S_SH06F040_1_S"/>
      <sheetName val="S_SH06F010_2_S"/>
      <sheetName val="S_SH06F010_3_S"/>
      <sheetName val="REVIEW"/>
      <sheetName val="review2"/>
      <sheetName val="代码评审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ランク－５月"/>
      <sheetName val="Ａランク－８月"/>
      <sheetName val="Ｂランク－５月"/>
      <sheetName val="#REF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TSPi Instructions"/>
      <sheetName val="TSP Instructions"/>
      <sheetName val="PlanGuide"/>
      <sheetName val="QualGuide"/>
      <sheetName val="Project"/>
      <sheetName val="Team"/>
      <sheetName val="Goals"/>
      <sheetName val="Roles"/>
      <sheetName val="SUMP"/>
      <sheetName val="SUMQ"/>
      <sheetName val="SUMS"/>
      <sheetName val="S"/>
      <sheetName val="Task"/>
      <sheetName val="Schedule"/>
      <sheetName val="Risk"/>
      <sheetName val="LOGT"/>
      <sheetName val="LOGD"/>
      <sheetName val="Week"/>
      <sheetName val="IRTL"/>
      <sheetName val="IRWeek"/>
      <sheetName val="DefectTypes"/>
      <sheetName val="Phases"/>
      <sheetName val="QProfPara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eneral Information"/>
      <sheetName val="Productivity"/>
      <sheetName val="Effort"/>
      <sheetName val="Schedule"/>
      <sheetName val="Defect"/>
      <sheetName val="Size"/>
      <sheetName val="Risk"/>
      <sheetName val="BestPractices"/>
      <sheetName val="ProcessAssets"/>
      <sheetName val="Appendix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文件封面"/>
      <sheetName val="文件修改控制"/>
      <sheetName val="封面"/>
      <sheetName val="履历"/>
      <sheetName val="目录"/>
      <sheetName val="定义"/>
      <sheetName val="介绍"/>
      <sheetName val="总览"/>
      <sheetName val="指标"/>
      <sheetName val="概述"/>
      <sheetName val="目标"/>
      <sheetName val="里程碑"/>
      <sheetName val="度量"/>
      <sheetName val="需求"/>
      <sheetName val="规模"/>
      <sheetName val="代码行"/>
      <sheetName val="文档"/>
      <sheetName val="质量"/>
      <sheetName val="成本"/>
      <sheetName val="工作量"/>
      <sheetName val="投入"/>
      <sheetName val="资源"/>
      <sheetName val="人员"/>
      <sheetName val="沟通"/>
      <sheetName val="环境"/>
      <sheetName val="风险"/>
      <sheetName val="依赖"/>
      <sheetName val="培训"/>
      <sheetName val="测试"/>
      <sheetName val="决策"/>
      <sheetName val="P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20"/>
  <sheetViews>
    <sheetView showGridLines="0" tabSelected="1" workbookViewId="0">
      <selection activeCell="I14" sqref="I14"/>
    </sheetView>
  </sheetViews>
  <sheetFormatPr defaultColWidth="9" defaultRowHeight="14.25"/>
  <cols>
    <col min="4" max="4" width="14.875" customWidth="1"/>
    <col min="5" max="5" width="20.125" customWidth="1"/>
    <col min="6" max="6" width="18.375" customWidth="1"/>
    <col min="7" max="8" width="15.875" customWidth="1"/>
  </cols>
  <sheetData>
    <row r="3" spans="3:8" ht="20.100000000000001" customHeight="1">
      <c r="C3" s="22" t="s">
        <v>0</v>
      </c>
      <c r="D3" s="23"/>
      <c r="E3" s="23"/>
      <c r="F3" s="23"/>
      <c r="G3" s="23"/>
      <c r="H3" s="24"/>
    </row>
    <row r="4" spans="3:8" ht="20.100000000000001" customHeight="1">
      <c r="C4" s="25"/>
      <c r="D4" s="26"/>
      <c r="E4" s="26"/>
      <c r="F4" s="26"/>
      <c r="G4" s="26"/>
      <c r="H4" s="27"/>
    </row>
    <row r="5" spans="3:8" ht="20.100000000000001" customHeight="1">
      <c r="C5" s="17" t="s">
        <v>1</v>
      </c>
      <c r="D5" s="18"/>
      <c r="E5" s="18"/>
      <c r="F5" s="18"/>
      <c r="G5" s="18"/>
      <c r="H5" s="19"/>
    </row>
    <row r="6" spans="3:8" ht="20.100000000000001" customHeight="1">
      <c r="C6" s="20" t="s">
        <v>2</v>
      </c>
      <c r="D6" s="20"/>
      <c r="E6" s="15" t="s">
        <v>3</v>
      </c>
      <c r="F6" s="15" t="s">
        <v>4</v>
      </c>
      <c r="G6" s="15" t="s">
        <v>5</v>
      </c>
      <c r="H6" s="15" t="s">
        <v>6</v>
      </c>
    </row>
    <row r="7" spans="3:8" ht="20.100000000000001" customHeight="1">
      <c r="C7" s="20" t="s">
        <v>7</v>
      </c>
      <c r="D7" s="20"/>
      <c r="E7" s="15" t="s">
        <v>8</v>
      </c>
      <c r="F7" s="16"/>
      <c r="G7" s="16"/>
      <c r="H7" s="16"/>
    </row>
    <row r="8" spans="3:8" ht="20.100000000000001" customHeight="1">
      <c r="C8" s="20"/>
      <c r="D8" s="20"/>
      <c r="E8" s="15" t="s">
        <v>9</v>
      </c>
      <c r="F8" s="16"/>
      <c r="G8" s="16"/>
      <c r="H8" s="16"/>
    </row>
    <row r="9" spans="3:8" ht="20.100000000000001" customHeight="1">
      <c r="C9" s="20"/>
      <c r="D9" s="20"/>
      <c r="E9" s="15" t="s">
        <v>10</v>
      </c>
      <c r="F9" s="16"/>
      <c r="G9" s="16"/>
      <c r="H9" s="16"/>
    </row>
    <row r="10" spans="3:8" ht="20.100000000000001" customHeight="1">
      <c r="C10" s="20"/>
      <c r="D10" s="20"/>
      <c r="E10" s="16"/>
      <c r="F10" s="15" t="s">
        <v>11</v>
      </c>
      <c r="G10" s="16"/>
      <c r="H10" s="16"/>
    </row>
    <row r="11" spans="3:8" ht="20.100000000000001" customHeight="1">
      <c r="C11" s="21"/>
      <c r="D11" s="21"/>
      <c r="E11" s="16"/>
      <c r="F11" s="15" t="s">
        <v>12</v>
      </c>
      <c r="G11" s="16"/>
      <c r="H11" s="16"/>
    </row>
    <row r="12" spans="3:8" ht="20.100000000000001" customHeight="1">
      <c r="C12" s="20"/>
      <c r="D12" s="20"/>
      <c r="E12" s="15" t="s">
        <v>13</v>
      </c>
      <c r="F12" s="16"/>
      <c r="G12" s="16"/>
      <c r="H12" s="16"/>
    </row>
    <row r="13" spans="3:8" ht="20.100000000000001" customHeight="1">
      <c r="C13" s="20"/>
      <c r="D13" s="20"/>
      <c r="E13" s="15" t="s">
        <v>14</v>
      </c>
      <c r="F13" s="16"/>
      <c r="G13" s="16"/>
      <c r="H13" s="16"/>
    </row>
    <row r="14" spans="3:8" ht="20.100000000000001" customHeight="1">
      <c r="C14" s="20"/>
      <c r="D14" s="20"/>
      <c r="E14" s="15" t="s">
        <v>15</v>
      </c>
      <c r="F14" s="16"/>
      <c r="G14" s="16"/>
      <c r="H14" s="16"/>
    </row>
    <row r="15" spans="3:8" ht="20.100000000000001" customHeight="1">
      <c r="C15" s="20"/>
      <c r="D15" s="20"/>
      <c r="E15" s="15" t="s">
        <v>16</v>
      </c>
      <c r="F15" s="16"/>
      <c r="G15" s="16"/>
      <c r="H15" s="16"/>
    </row>
    <row r="16" spans="3:8" ht="20.100000000000001" customHeight="1">
      <c r="C16" s="20"/>
      <c r="D16" s="20"/>
      <c r="E16" s="15" t="s">
        <v>17</v>
      </c>
      <c r="F16" s="16"/>
      <c r="G16" s="16"/>
      <c r="H16" s="16"/>
    </row>
    <row r="17" spans="3:8" ht="20.100000000000001" customHeight="1">
      <c r="C17" s="20"/>
      <c r="D17" s="20"/>
      <c r="E17" s="16"/>
      <c r="F17" s="15" t="s">
        <v>18</v>
      </c>
      <c r="G17" s="16"/>
      <c r="H17" s="16"/>
    </row>
    <row r="18" spans="3:8" ht="20.100000000000001" customHeight="1">
      <c r="C18" s="20"/>
      <c r="D18" s="20"/>
      <c r="E18" s="16"/>
      <c r="F18" s="15" t="s">
        <v>19</v>
      </c>
      <c r="G18" s="16"/>
      <c r="H18" s="16"/>
    </row>
    <row r="19" spans="3:8" ht="20.100000000000001" customHeight="1">
      <c r="C19" s="20"/>
      <c r="D19" s="20"/>
      <c r="E19" s="16"/>
      <c r="F19" s="15" t="s">
        <v>20</v>
      </c>
      <c r="G19" s="16"/>
      <c r="H19" s="16"/>
    </row>
    <row r="20" spans="3:8" ht="20.100000000000001" customHeight="1">
      <c r="C20" s="20"/>
      <c r="D20" s="20"/>
      <c r="E20" s="16"/>
      <c r="F20" s="15" t="s">
        <v>21</v>
      </c>
      <c r="G20" s="16"/>
      <c r="H20" s="16"/>
    </row>
    <row r="21" spans="3:8" ht="20.100000000000001" customHeight="1">
      <c r="C21" s="20"/>
      <c r="D21" s="20"/>
      <c r="E21" s="16"/>
      <c r="F21" s="15" t="s">
        <v>22</v>
      </c>
      <c r="G21" s="16"/>
      <c r="H21" s="16"/>
    </row>
    <row r="22" spans="3:8" ht="20.100000000000001" customHeight="1">
      <c r="C22" s="20"/>
      <c r="D22" s="20"/>
      <c r="E22" s="16"/>
      <c r="F22" s="15" t="s">
        <v>23</v>
      </c>
      <c r="G22" s="16"/>
      <c r="H22" s="16"/>
    </row>
    <row r="23" spans="3:8" ht="20.100000000000001" customHeight="1">
      <c r="C23" s="20"/>
      <c r="D23" s="20"/>
      <c r="E23" s="16"/>
      <c r="F23" s="15" t="s">
        <v>24</v>
      </c>
      <c r="G23" s="16"/>
      <c r="H23" s="16"/>
    </row>
    <row r="24" spans="3:8" ht="20.100000000000001" customHeight="1">
      <c r="C24" s="20"/>
      <c r="D24" s="20"/>
      <c r="E24" s="16"/>
      <c r="F24" s="15" t="s">
        <v>25</v>
      </c>
      <c r="G24" s="16"/>
      <c r="H24" s="16"/>
    </row>
    <row r="25" spans="3:8" ht="20.100000000000001" customHeight="1">
      <c r="C25" s="20"/>
      <c r="D25" s="20"/>
      <c r="E25" s="15" t="s">
        <v>26</v>
      </c>
      <c r="F25" s="16"/>
      <c r="G25" s="16"/>
      <c r="H25" s="16"/>
    </row>
    <row r="26" spans="3:8" ht="20.100000000000001" customHeight="1">
      <c r="C26" s="20"/>
      <c r="D26" s="20"/>
      <c r="E26" s="15" t="s">
        <v>27</v>
      </c>
      <c r="F26" s="16"/>
      <c r="G26" s="16"/>
      <c r="H26" s="16"/>
    </row>
    <row r="27" spans="3:8" ht="20.100000000000001" customHeight="1">
      <c r="C27" s="20"/>
      <c r="D27" s="20"/>
      <c r="E27" s="16"/>
      <c r="F27" s="15" t="s">
        <v>28</v>
      </c>
      <c r="G27" s="16"/>
      <c r="H27" s="16"/>
    </row>
    <row r="28" spans="3:8" ht="20.100000000000001" customHeight="1">
      <c r="C28" s="20"/>
      <c r="D28" s="20"/>
      <c r="E28" s="16"/>
      <c r="F28" s="15" t="s">
        <v>29</v>
      </c>
      <c r="G28" s="16"/>
      <c r="H28" s="16"/>
    </row>
    <row r="29" spans="3:8" ht="20.100000000000001" customHeight="1">
      <c r="C29" s="20"/>
      <c r="D29" s="20"/>
      <c r="E29" s="16"/>
      <c r="F29" s="15" t="s">
        <v>30</v>
      </c>
      <c r="G29" s="16"/>
      <c r="H29" s="16"/>
    </row>
    <row r="30" spans="3:8" ht="20.100000000000001" customHeight="1">
      <c r="C30" s="20"/>
      <c r="D30" s="20"/>
      <c r="E30" s="16"/>
      <c r="F30" s="15" t="s">
        <v>31</v>
      </c>
      <c r="G30" s="16"/>
      <c r="H30" s="16"/>
    </row>
    <row r="31" spans="3:8" ht="20.100000000000001" customHeight="1">
      <c r="C31" s="20"/>
      <c r="D31" s="20"/>
      <c r="E31" s="16"/>
      <c r="F31" s="15" t="s">
        <v>32</v>
      </c>
      <c r="G31" s="16"/>
      <c r="H31" s="16"/>
    </row>
    <row r="32" spans="3:8" ht="20.100000000000001" customHeight="1">
      <c r="C32" s="20"/>
      <c r="D32" s="20"/>
      <c r="E32" s="16"/>
      <c r="F32" s="15" t="s">
        <v>33</v>
      </c>
      <c r="G32" s="16"/>
      <c r="H32" s="16"/>
    </row>
    <row r="33" spans="3:8" ht="20.100000000000001" customHeight="1">
      <c r="C33" s="20"/>
      <c r="D33" s="20"/>
      <c r="E33" s="15" t="s">
        <v>34</v>
      </c>
      <c r="F33" s="16"/>
      <c r="G33" s="16"/>
      <c r="H33" s="16"/>
    </row>
    <row r="34" spans="3:8" ht="20.100000000000001" customHeight="1">
      <c r="C34" s="20"/>
      <c r="D34" s="20"/>
      <c r="E34" s="15" t="s">
        <v>35</v>
      </c>
      <c r="F34" s="16"/>
      <c r="G34" s="16"/>
      <c r="H34" s="16"/>
    </row>
    <row r="35" spans="3:8" ht="20.100000000000001" customHeight="1">
      <c r="C35" s="20"/>
      <c r="D35" s="20"/>
      <c r="E35" s="15" t="s">
        <v>36</v>
      </c>
      <c r="F35" s="16"/>
      <c r="G35" s="16"/>
      <c r="H35" s="16"/>
    </row>
    <row r="36" spans="3:8" ht="20.100000000000001" customHeight="1">
      <c r="C36" s="20" t="s">
        <v>37</v>
      </c>
      <c r="D36" s="20"/>
      <c r="E36" s="15" t="s">
        <v>38</v>
      </c>
      <c r="F36" s="16"/>
      <c r="G36" s="16"/>
      <c r="H36" s="16"/>
    </row>
    <row r="37" spans="3:8" ht="20.100000000000001" customHeight="1">
      <c r="C37" s="20"/>
      <c r="D37" s="20"/>
      <c r="E37" s="15" t="s">
        <v>39</v>
      </c>
      <c r="F37" s="16"/>
      <c r="G37" s="16"/>
      <c r="H37" s="16"/>
    </row>
    <row r="38" spans="3:8" ht="20.100000000000001" customHeight="1">
      <c r="C38" s="20"/>
      <c r="D38" s="20"/>
      <c r="E38" s="15" t="s">
        <v>40</v>
      </c>
      <c r="F38" s="16"/>
      <c r="G38" s="16"/>
      <c r="H38" s="16"/>
    </row>
    <row r="39" spans="3:8" ht="20.100000000000001" customHeight="1">
      <c r="C39" s="20"/>
      <c r="D39" s="20"/>
      <c r="E39" s="16"/>
      <c r="F39" s="15" t="s">
        <v>41</v>
      </c>
      <c r="G39" s="15" t="s">
        <v>42</v>
      </c>
      <c r="H39" s="15"/>
    </row>
    <row r="40" spans="3:8" ht="20.100000000000001" customHeight="1">
      <c r="C40" s="20"/>
      <c r="D40" s="20"/>
      <c r="E40" s="16"/>
      <c r="F40" s="15" t="s">
        <v>43</v>
      </c>
      <c r="G40" s="15" t="s">
        <v>44</v>
      </c>
      <c r="H40" s="15"/>
    </row>
    <row r="41" spans="3:8" ht="20.100000000000001" customHeight="1">
      <c r="C41" s="20"/>
      <c r="D41" s="20"/>
      <c r="E41" s="15" t="s">
        <v>45</v>
      </c>
      <c r="F41" s="16"/>
      <c r="G41" s="16"/>
      <c r="H41" s="16"/>
    </row>
    <row r="42" spans="3:8" ht="20.100000000000001" customHeight="1">
      <c r="C42" s="20"/>
      <c r="D42" s="20"/>
      <c r="E42" s="16"/>
      <c r="F42" s="15" t="s">
        <v>46</v>
      </c>
      <c r="G42" s="16"/>
      <c r="H42" s="16"/>
    </row>
    <row r="43" spans="3:8" ht="20.100000000000001" customHeight="1">
      <c r="C43" s="20"/>
      <c r="D43" s="20"/>
      <c r="E43" s="16"/>
      <c r="F43" s="16"/>
      <c r="G43" s="15" t="s">
        <v>47</v>
      </c>
      <c r="H43" s="15"/>
    </row>
    <row r="44" spans="3:8" ht="20.100000000000001" customHeight="1">
      <c r="C44" s="20"/>
      <c r="D44" s="20"/>
      <c r="E44" s="16"/>
      <c r="F44" s="16"/>
      <c r="G44" s="15" t="s">
        <v>48</v>
      </c>
      <c r="H44" s="15"/>
    </row>
    <row r="45" spans="3:8" ht="20.100000000000001" customHeight="1">
      <c r="C45" s="20"/>
      <c r="D45" s="20"/>
      <c r="E45" s="16"/>
      <c r="F45" s="16"/>
      <c r="G45" s="15" t="s">
        <v>49</v>
      </c>
      <c r="H45" s="15"/>
    </row>
    <row r="46" spans="3:8" ht="20.100000000000001" customHeight="1">
      <c r="C46" s="20"/>
      <c r="D46" s="20"/>
      <c r="E46" s="16"/>
      <c r="F46" s="16"/>
      <c r="G46" s="15" t="s">
        <v>17</v>
      </c>
      <c r="H46" s="15"/>
    </row>
    <row r="47" spans="3:8" ht="20.100000000000001" customHeight="1">
      <c r="C47" s="20"/>
      <c r="D47" s="20"/>
      <c r="E47" s="16"/>
      <c r="F47" s="16"/>
      <c r="G47" s="15" t="s">
        <v>50</v>
      </c>
      <c r="H47" s="15"/>
    </row>
    <row r="48" spans="3:8" ht="20.100000000000001" customHeight="1">
      <c r="C48" s="20"/>
      <c r="D48" s="20"/>
      <c r="E48" s="16"/>
      <c r="F48" s="16"/>
      <c r="G48" s="15" t="s">
        <v>26</v>
      </c>
      <c r="H48" s="15"/>
    </row>
    <row r="49" spans="3:8" ht="20.100000000000001" customHeight="1">
      <c r="C49" s="20"/>
      <c r="D49" s="20"/>
      <c r="E49" s="16"/>
      <c r="F49" s="15" t="s">
        <v>51</v>
      </c>
      <c r="G49" s="16"/>
      <c r="H49" s="16"/>
    </row>
    <row r="50" spans="3:8" ht="20.100000000000001" customHeight="1">
      <c r="C50" s="20"/>
      <c r="D50" s="20"/>
      <c r="E50" s="16"/>
      <c r="F50" s="16"/>
      <c r="G50" s="15" t="s">
        <v>17</v>
      </c>
      <c r="H50" s="15"/>
    </row>
    <row r="51" spans="3:8" ht="20.100000000000001" customHeight="1">
      <c r="C51" s="20"/>
      <c r="D51" s="20"/>
      <c r="E51" s="16"/>
      <c r="F51" s="16"/>
      <c r="G51" s="15" t="s">
        <v>50</v>
      </c>
      <c r="H51" s="15"/>
    </row>
    <row r="52" spans="3:8" ht="20.100000000000001" customHeight="1">
      <c r="C52" s="20"/>
      <c r="D52" s="20"/>
      <c r="E52" s="16"/>
      <c r="F52" s="16"/>
      <c r="G52" s="15" t="s">
        <v>26</v>
      </c>
      <c r="H52" s="15"/>
    </row>
    <row r="53" spans="3:8" ht="20.100000000000001" customHeight="1">
      <c r="C53" s="20"/>
      <c r="D53" s="20"/>
      <c r="E53" s="16"/>
      <c r="F53" s="15" t="s">
        <v>52</v>
      </c>
      <c r="G53" s="16"/>
      <c r="H53" s="16"/>
    </row>
    <row r="54" spans="3:8" ht="20.100000000000001" customHeight="1">
      <c r="C54" s="20"/>
      <c r="D54" s="20"/>
      <c r="E54" s="16"/>
      <c r="F54" s="16"/>
      <c r="G54" s="15" t="s">
        <v>17</v>
      </c>
      <c r="H54" s="15"/>
    </row>
    <row r="55" spans="3:8" ht="20.100000000000001" customHeight="1">
      <c r="C55" s="20"/>
      <c r="D55" s="20"/>
      <c r="E55" s="16"/>
      <c r="F55" s="16"/>
      <c r="G55" s="15" t="s">
        <v>50</v>
      </c>
      <c r="H55" s="15"/>
    </row>
    <row r="56" spans="3:8" ht="20.100000000000001" customHeight="1">
      <c r="C56" s="20"/>
      <c r="D56" s="20"/>
      <c r="E56" s="16"/>
      <c r="F56" s="16"/>
      <c r="G56" s="15" t="s">
        <v>26</v>
      </c>
      <c r="H56" s="15"/>
    </row>
    <row r="57" spans="3:8" ht="20.100000000000001" customHeight="1">
      <c r="C57" s="20"/>
      <c r="D57" s="20"/>
      <c r="E57" s="15" t="s">
        <v>53</v>
      </c>
      <c r="F57" s="16"/>
      <c r="G57" s="16"/>
      <c r="H57" s="16"/>
    </row>
    <row r="58" spans="3:8" ht="20.100000000000001" customHeight="1">
      <c r="C58" s="20"/>
      <c r="D58" s="20"/>
      <c r="E58" s="16"/>
      <c r="F58" s="15" t="s">
        <v>54</v>
      </c>
      <c r="G58" s="16"/>
      <c r="H58" s="16"/>
    </row>
    <row r="59" spans="3:8" ht="20.100000000000001" customHeight="1">
      <c r="C59" s="20"/>
      <c r="D59" s="20"/>
      <c r="E59" s="16"/>
      <c r="F59" s="15" t="s">
        <v>55</v>
      </c>
      <c r="G59" s="16"/>
      <c r="H59" s="16"/>
    </row>
    <row r="60" spans="3:8" ht="20.100000000000001" customHeight="1">
      <c r="C60" s="20"/>
      <c r="D60" s="20"/>
      <c r="E60" s="16"/>
      <c r="F60" s="15" t="s">
        <v>56</v>
      </c>
      <c r="G60" s="16"/>
      <c r="H60" s="16"/>
    </row>
    <row r="61" spans="3:8" ht="20.100000000000001" customHeight="1">
      <c r="C61" s="20"/>
      <c r="D61" s="20"/>
      <c r="E61" s="16"/>
      <c r="F61" s="15" t="s">
        <v>57</v>
      </c>
      <c r="G61" s="16"/>
      <c r="H61" s="16"/>
    </row>
    <row r="62" spans="3:8" ht="20.100000000000001" customHeight="1">
      <c r="C62" s="20"/>
      <c r="D62" s="20"/>
      <c r="E62" s="16"/>
      <c r="F62" s="15" t="s">
        <v>58</v>
      </c>
      <c r="G62" s="16"/>
      <c r="H62" s="16"/>
    </row>
    <row r="63" spans="3:8" ht="20.100000000000001" customHeight="1">
      <c r="C63" s="20"/>
      <c r="D63" s="20"/>
      <c r="E63" s="16"/>
      <c r="F63" s="15" t="s">
        <v>59</v>
      </c>
      <c r="G63" s="16"/>
      <c r="H63" s="16"/>
    </row>
    <row r="64" spans="3:8" ht="20.100000000000001" customHeight="1">
      <c r="C64" s="20" t="s">
        <v>60</v>
      </c>
      <c r="D64" s="20"/>
      <c r="E64" s="15" t="s">
        <v>61</v>
      </c>
      <c r="F64" s="16"/>
      <c r="G64" s="16"/>
      <c r="H64" s="16"/>
    </row>
    <row r="65" spans="3:8" ht="20.100000000000001" customHeight="1">
      <c r="C65" s="20"/>
      <c r="D65" s="20"/>
      <c r="E65" s="15" t="s">
        <v>62</v>
      </c>
      <c r="F65" s="16"/>
      <c r="G65" s="16"/>
      <c r="H65" s="16"/>
    </row>
    <row r="66" spans="3:8" ht="20.100000000000001" customHeight="1">
      <c r="C66" s="20"/>
      <c r="D66" s="20"/>
      <c r="E66" s="16"/>
      <c r="F66" s="15" t="s">
        <v>63</v>
      </c>
      <c r="G66" s="16"/>
      <c r="H66" s="16"/>
    </row>
    <row r="67" spans="3:8" ht="20.100000000000001" customHeight="1">
      <c r="C67" s="20"/>
      <c r="D67" s="20"/>
      <c r="E67" s="16"/>
      <c r="F67" s="16"/>
      <c r="G67" s="15" t="s">
        <v>64</v>
      </c>
      <c r="H67" s="15"/>
    </row>
    <row r="68" spans="3:8" ht="20.100000000000001" customHeight="1">
      <c r="C68" s="20"/>
      <c r="D68" s="20"/>
      <c r="E68" s="16"/>
      <c r="F68" s="16"/>
      <c r="G68" s="15" t="s">
        <v>65</v>
      </c>
      <c r="H68" s="15"/>
    </row>
    <row r="69" spans="3:8" ht="20.100000000000001" customHeight="1">
      <c r="C69" s="20"/>
      <c r="D69" s="20"/>
      <c r="E69" s="16"/>
      <c r="F69" s="16"/>
      <c r="G69" s="15" t="s">
        <v>66</v>
      </c>
      <c r="H69" s="15"/>
    </row>
    <row r="70" spans="3:8" ht="20.100000000000001" customHeight="1">
      <c r="C70" s="20"/>
      <c r="D70" s="20"/>
      <c r="E70" s="16"/>
      <c r="F70" s="16"/>
      <c r="G70" s="15" t="s">
        <v>67</v>
      </c>
      <c r="H70" s="15"/>
    </row>
    <row r="71" spans="3:8" ht="20.100000000000001" customHeight="1">
      <c r="C71" s="20"/>
      <c r="D71" s="20"/>
      <c r="E71" s="16"/>
      <c r="F71" s="16"/>
      <c r="G71" s="15" t="s">
        <v>68</v>
      </c>
      <c r="H71" s="15"/>
    </row>
    <row r="72" spans="3:8" ht="20.100000000000001" customHeight="1">
      <c r="C72" s="20"/>
      <c r="D72" s="20"/>
      <c r="E72" s="16"/>
      <c r="F72" s="16"/>
      <c r="G72" s="15" t="s">
        <v>69</v>
      </c>
      <c r="H72" s="15"/>
    </row>
    <row r="73" spans="3:8" ht="20.100000000000001" customHeight="1">
      <c r="C73" s="20"/>
      <c r="D73" s="20"/>
      <c r="E73" s="16"/>
      <c r="F73" s="16"/>
      <c r="G73" s="15" t="s">
        <v>70</v>
      </c>
      <c r="H73" s="15"/>
    </row>
    <row r="74" spans="3:8" ht="20.100000000000001" customHeight="1">
      <c r="C74" s="20"/>
      <c r="D74" s="20"/>
      <c r="E74" s="16"/>
      <c r="F74" s="16"/>
      <c r="G74" s="15" t="s">
        <v>71</v>
      </c>
      <c r="H74" s="15"/>
    </row>
    <row r="75" spans="3:8" ht="20.100000000000001" customHeight="1">
      <c r="C75" s="20"/>
      <c r="D75" s="20"/>
      <c r="E75" s="16"/>
      <c r="F75" s="16"/>
      <c r="G75" s="15" t="s">
        <v>55</v>
      </c>
      <c r="H75" s="15"/>
    </row>
    <row r="76" spans="3:8" ht="20.100000000000001" customHeight="1">
      <c r="C76" s="20"/>
      <c r="D76" s="20"/>
      <c r="E76" s="16"/>
      <c r="F76" s="16"/>
      <c r="G76" s="15" t="s">
        <v>72</v>
      </c>
      <c r="H76" s="15"/>
    </row>
    <row r="77" spans="3:8" ht="20.100000000000001" customHeight="1">
      <c r="C77" s="20"/>
      <c r="D77" s="20"/>
      <c r="E77" s="16"/>
      <c r="F77" s="16"/>
      <c r="G77" s="15" t="s">
        <v>73</v>
      </c>
      <c r="H77" s="15"/>
    </row>
    <row r="78" spans="3:8" ht="20.100000000000001" customHeight="1">
      <c r="C78" s="20"/>
      <c r="D78" s="20"/>
      <c r="E78" s="16"/>
      <c r="F78" s="15" t="s">
        <v>74</v>
      </c>
      <c r="G78" s="16"/>
      <c r="H78" s="16"/>
    </row>
    <row r="79" spans="3:8" ht="20.100000000000001" customHeight="1">
      <c r="C79" s="20"/>
      <c r="D79" s="20"/>
      <c r="E79" s="16"/>
      <c r="F79" s="16"/>
      <c r="G79" s="15" t="s">
        <v>64</v>
      </c>
      <c r="H79" s="15"/>
    </row>
    <row r="80" spans="3:8" ht="20.100000000000001" customHeight="1">
      <c r="C80" s="20"/>
      <c r="D80" s="20"/>
      <c r="E80" s="16"/>
      <c r="F80" s="16"/>
      <c r="G80" s="15" t="s">
        <v>65</v>
      </c>
      <c r="H80" s="15"/>
    </row>
    <row r="81" spans="3:8" ht="20.100000000000001" customHeight="1">
      <c r="C81" s="20"/>
      <c r="D81" s="20"/>
      <c r="E81" s="16"/>
      <c r="F81" s="16"/>
      <c r="G81" s="15" t="s">
        <v>66</v>
      </c>
      <c r="H81" s="15"/>
    </row>
    <row r="82" spans="3:8" ht="20.100000000000001" customHeight="1">
      <c r="C82" s="20"/>
      <c r="D82" s="20"/>
      <c r="E82" s="16"/>
      <c r="F82" s="16"/>
      <c r="G82" s="15" t="s">
        <v>67</v>
      </c>
      <c r="H82" s="15"/>
    </row>
    <row r="83" spans="3:8" ht="20.100000000000001" customHeight="1">
      <c r="C83" s="20"/>
      <c r="D83" s="20"/>
      <c r="E83" s="16"/>
      <c r="F83" s="16"/>
      <c r="G83" s="15" t="s">
        <v>68</v>
      </c>
      <c r="H83" s="15"/>
    </row>
    <row r="84" spans="3:8" ht="20.100000000000001" customHeight="1">
      <c r="C84" s="20"/>
      <c r="D84" s="20"/>
      <c r="E84" s="16"/>
      <c r="F84" s="16"/>
      <c r="G84" s="15" t="s">
        <v>69</v>
      </c>
      <c r="H84" s="15"/>
    </row>
    <row r="85" spans="3:8" ht="20.100000000000001" customHeight="1">
      <c r="C85" s="20"/>
      <c r="D85" s="20"/>
      <c r="E85" s="16"/>
      <c r="F85" s="16"/>
      <c r="G85" s="15" t="s">
        <v>70</v>
      </c>
      <c r="H85" s="15"/>
    </row>
    <row r="86" spans="3:8" ht="20.100000000000001" customHeight="1">
      <c r="C86" s="20"/>
      <c r="D86" s="20"/>
      <c r="E86" s="16"/>
      <c r="F86" s="16"/>
      <c r="G86" s="15" t="s">
        <v>71</v>
      </c>
      <c r="H86" s="15"/>
    </row>
    <row r="87" spans="3:8" ht="20.100000000000001" customHeight="1">
      <c r="C87" s="20"/>
      <c r="D87" s="20"/>
      <c r="E87" s="16"/>
      <c r="F87" s="16"/>
      <c r="G87" s="15" t="s">
        <v>55</v>
      </c>
      <c r="H87" s="15"/>
    </row>
    <row r="88" spans="3:8" ht="20.100000000000001" customHeight="1">
      <c r="C88" s="20"/>
      <c r="D88" s="20"/>
      <c r="E88" s="16"/>
      <c r="F88" s="16"/>
      <c r="G88" s="15" t="s">
        <v>72</v>
      </c>
      <c r="H88" s="15"/>
    </row>
    <row r="89" spans="3:8" ht="20.100000000000001" customHeight="1">
      <c r="C89" s="20"/>
      <c r="D89" s="20"/>
      <c r="E89" s="16"/>
      <c r="F89" s="16"/>
      <c r="G89" s="15" t="s">
        <v>73</v>
      </c>
      <c r="H89" s="15"/>
    </row>
    <row r="90" spans="3:8" ht="20.100000000000001" customHeight="1">
      <c r="C90" s="20"/>
      <c r="D90" s="20"/>
      <c r="E90" s="16"/>
      <c r="F90" s="15" t="s">
        <v>75</v>
      </c>
      <c r="G90" s="16"/>
      <c r="H90" s="16"/>
    </row>
    <row r="91" spans="3:8" ht="20.100000000000001" customHeight="1">
      <c r="C91" s="20"/>
      <c r="D91" s="20"/>
      <c r="E91" s="16"/>
      <c r="F91" s="16"/>
      <c r="G91" s="15" t="s">
        <v>64</v>
      </c>
      <c r="H91" s="15"/>
    </row>
    <row r="92" spans="3:8" ht="20.100000000000001" customHeight="1">
      <c r="C92" s="20"/>
      <c r="D92" s="20"/>
      <c r="E92" s="16"/>
      <c r="F92" s="16"/>
      <c r="G92" s="15" t="s">
        <v>65</v>
      </c>
      <c r="H92" s="15"/>
    </row>
    <row r="93" spans="3:8" ht="20.100000000000001" customHeight="1">
      <c r="C93" s="20"/>
      <c r="D93" s="20"/>
      <c r="E93" s="16"/>
      <c r="F93" s="16"/>
      <c r="G93" s="15" t="s">
        <v>66</v>
      </c>
      <c r="H93" s="15"/>
    </row>
    <row r="94" spans="3:8" ht="20.100000000000001" customHeight="1">
      <c r="C94" s="20"/>
      <c r="D94" s="20"/>
      <c r="E94" s="16"/>
      <c r="F94" s="16"/>
      <c r="G94" s="15" t="s">
        <v>67</v>
      </c>
      <c r="H94" s="15"/>
    </row>
    <row r="95" spans="3:8" ht="20.100000000000001" customHeight="1">
      <c r="C95" s="20"/>
      <c r="D95" s="20"/>
      <c r="E95" s="16"/>
      <c r="F95" s="16"/>
      <c r="G95" s="15" t="s">
        <v>68</v>
      </c>
      <c r="H95" s="15"/>
    </row>
    <row r="96" spans="3:8" ht="20.100000000000001" customHeight="1">
      <c r="C96" s="20"/>
      <c r="D96" s="20"/>
      <c r="E96" s="16"/>
      <c r="F96" s="16"/>
      <c r="G96" s="15" t="s">
        <v>69</v>
      </c>
      <c r="H96" s="15"/>
    </row>
    <row r="97" spans="3:8" ht="20.100000000000001" customHeight="1">
      <c r="C97" s="20"/>
      <c r="D97" s="20"/>
      <c r="E97" s="16"/>
      <c r="F97" s="16"/>
      <c r="G97" s="15" t="s">
        <v>70</v>
      </c>
      <c r="H97" s="15"/>
    </row>
    <row r="98" spans="3:8" ht="20.100000000000001" customHeight="1">
      <c r="C98" s="20"/>
      <c r="D98" s="20"/>
      <c r="E98" s="16"/>
      <c r="F98" s="16"/>
      <c r="G98" s="15" t="s">
        <v>71</v>
      </c>
      <c r="H98" s="15"/>
    </row>
    <row r="99" spans="3:8" ht="20.100000000000001" customHeight="1">
      <c r="C99" s="20"/>
      <c r="D99" s="20"/>
      <c r="E99" s="16"/>
      <c r="F99" s="16"/>
      <c r="G99" s="15" t="s">
        <v>55</v>
      </c>
      <c r="H99" s="15"/>
    </row>
    <row r="100" spans="3:8" ht="20.100000000000001" customHeight="1">
      <c r="C100" s="20"/>
      <c r="D100" s="20"/>
      <c r="E100" s="16"/>
      <c r="F100" s="16"/>
      <c r="G100" s="15" t="s">
        <v>72</v>
      </c>
      <c r="H100" s="15"/>
    </row>
    <row r="101" spans="3:8" ht="20.100000000000001" customHeight="1">
      <c r="C101" s="20"/>
      <c r="D101" s="20"/>
      <c r="E101" s="16"/>
      <c r="F101" s="16"/>
      <c r="G101" s="15" t="s">
        <v>73</v>
      </c>
      <c r="H101" s="15"/>
    </row>
    <row r="102" spans="3:8" ht="20.100000000000001" customHeight="1">
      <c r="C102" s="20"/>
      <c r="D102" s="20"/>
      <c r="E102" s="16"/>
      <c r="F102" s="15" t="s">
        <v>76</v>
      </c>
      <c r="G102" s="16"/>
      <c r="H102" s="16"/>
    </row>
    <row r="103" spans="3:8" ht="20.100000000000001" customHeight="1">
      <c r="C103" s="20" t="s">
        <v>77</v>
      </c>
      <c r="D103" s="20"/>
      <c r="E103" s="15" t="s">
        <v>78</v>
      </c>
      <c r="F103" s="16"/>
      <c r="G103" s="16"/>
      <c r="H103" s="16"/>
    </row>
    <row r="104" spans="3:8" ht="20.100000000000001" customHeight="1">
      <c r="C104" s="20"/>
      <c r="D104" s="20"/>
      <c r="E104" s="15" t="s">
        <v>79</v>
      </c>
      <c r="F104" s="16"/>
      <c r="G104" s="16"/>
      <c r="H104" s="16"/>
    </row>
    <row r="105" spans="3:8" ht="20.100000000000001" customHeight="1">
      <c r="C105" s="20"/>
      <c r="D105" s="20"/>
      <c r="E105" s="15" t="s">
        <v>80</v>
      </c>
      <c r="F105" s="16"/>
      <c r="G105" s="16"/>
      <c r="H105" s="16"/>
    </row>
    <row r="106" spans="3:8" ht="20.100000000000001" customHeight="1">
      <c r="C106" s="20"/>
      <c r="D106" s="20"/>
      <c r="E106" s="15" t="s">
        <v>81</v>
      </c>
      <c r="F106" s="16"/>
      <c r="G106" s="16"/>
      <c r="H106" s="16"/>
    </row>
    <row r="107" spans="3:8" ht="20.100000000000001" customHeight="1">
      <c r="C107" s="20"/>
      <c r="D107" s="20"/>
      <c r="E107" s="15" t="s">
        <v>82</v>
      </c>
      <c r="F107" s="16"/>
      <c r="G107" s="16"/>
      <c r="H107" s="16"/>
    </row>
    <row r="108" spans="3:8" ht="20.100000000000001" customHeight="1">
      <c r="C108" s="20"/>
      <c r="D108" s="20"/>
      <c r="E108" s="15" t="s">
        <v>83</v>
      </c>
      <c r="F108" s="16"/>
      <c r="G108" s="16"/>
      <c r="H108" s="16"/>
    </row>
    <row r="109" spans="3:8" ht="20.100000000000001" customHeight="1">
      <c r="C109" s="20"/>
      <c r="D109" s="20"/>
      <c r="E109" s="15" t="s">
        <v>84</v>
      </c>
      <c r="F109" s="16"/>
      <c r="G109" s="16"/>
      <c r="H109" s="16"/>
    </row>
    <row r="110" spans="3:8" ht="20.100000000000001" customHeight="1">
      <c r="C110" s="20"/>
      <c r="D110" s="20"/>
      <c r="E110" s="15" t="s">
        <v>85</v>
      </c>
      <c r="F110" s="16"/>
      <c r="G110" s="16"/>
      <c r="H110" s="16"/>
    </row>
    <row r="111" spans="3:8" ht="20.100000000000001" customHeight="1">
      <c r="C111" s="20"/>
      <c r="D111" s="20"/>
      <c r="E111" s="15" t="s">
        <v>86</v>
      </c>
      <c r="F111" s="16"/>
      <c r="G111" s="16"/>
      <c r="H111" s="16"/>
    </row>
    <row r="112" spans="3:8" ht="20.100000000000001" customHeight="1">
      <c r="C112" s="20"/>
      <c r="D112" s="20"/>
      <c r="E112" s="16"/>
      <c r="F112" s="15" t="s">
        <v>87</v>
      </c>
      <c r="G112" s="16"/>
      <c r="H112" s="16"/>
    </row>
    <row r="113" spans="3:8" ht="20.100000000000001" customHeight="1">
      <c r="C113" s="20"/>
      <c r="D113" s="20"/>
      <c r="E113" s="16"/>
      <c r="F113" s="15" t="s">
        <v>88</v>
      </c>
      <c r="G113" s="16"/>
      <c r="H113" s="16"/>
    </row>
    <row r="114" spans="3:8" ht="20.100000000000001" customHeight="1">
      <c r="C114" s="20"/>
      <c r="D114" s="20"/>
      <c r="E114" s="16"/>
      <c r="F114" s="15" t="s">
        <v>89</v>
      </c>
      <c r="G114" s="16"/>
      <c r="H114" s="16"/>
    </row>
    <row r="115" spans="3:8" ht="20.100000000000001" customHeight="1">
      <c r="C115" s="20"/>
      <c r="D115" s="20"/>
      <c r="E115" s="15" t="s">
        <v>90</v>
      </c>
      <c r="F115" s="16"/>
      <c r="G115" s="16"/>
      <c r="H115" s="16"/>
    </row>
    <row r="116" spans="3:8" ht="20.100000000000001" customHeight="1">
      <c r="C116" s="20"/>
      <c r="D116" s="20"/>
      <c r="E116" s="16"/>
      <c r="F116" s="15" t="s">
        <v>91</v>
      </c>
      <c r="G116" s="16"/>
      <c r="H116" s="16"/>
    </row>
    <row r="117" spans="3:8" ht="20.100000000000001" customHeight="1">
      <c r="C117" s="20"/>
      <c r="D117" s="20"/>
      <c r="E117" s="16"/>
      <c r="F117" s="15" t="s">
        <v>92</v>
      </c>
      <c r="G117" s="16"/>
      <c r="H117" s="16"/>
    </row>
    <row r="118" spans="3:8" ht="20.100000000000001" customHeight="1">
      <c r="C118" s="20"/>
      <c r="D118" s="20"/>
      <c r="E118" s="16"/>
      <c r="F118" s="15" t="s">
        <v>93</v>
      </c>
      <c r="G118" s="16"/>
      <c r="H118" s="16"/>
    </row>
    <row r="119" spans="3:8" ht="20.100000000000001" customHeight="1">
      <c r="C119" s="20"/>
      <c r="D119" s="20"/>
      <c r="E119" s="16"/>
      <c r="F119" s="15" t="s">
        <v>94</v>
      </c>
      <c r="G119" s="16"/>
      <c r="H119" s="16"/>
    </row>
    <row r="120" spans="3:8" ht="20.100000000000001" customHeight="1">
      <c r="C120" s="20"/>
      <c r="D120" s="20"/>
      <c r="E120" s="16"/>
      <c r="F120" s="15" t="s">
        <v>72</v>
      </c>
      <c r="G120" s="16"/>
      <c r="H120" s="16"/>
    </row>
  </sheetData>
  <autoFilter ref="C6:G6"/>
  <mergeCells count="117"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3:H4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5:H5"/>
    <mergeCell ref="C6:D6"/>
    <mergeCell ref="C7:D7"/>
    <mergeCell ref="C8:D8"/>
    <mergeCell ref="C9:D9"/>
    <mergeCell ref="C10:D10"/>
    <mergeCell ref="C11:D11"/>
    <mergeCell ref="C12:D12"/>
    <mergeCell ref="C13:D13"/>
  </mergeCells>
  <phoneticPr fontId="32" type="noConversion"/>
  <pageMargins left="0.75" right="0.75" top="1" bottom="1" header="0.51180555555555596" footer="0.5118055555555559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R100"/>
  <sheetViews>
    <sheetView zoomScale="130" zoomScaleNormal="130" workbookViewId="0">
      <selection activeCell="S81" sqref="S81"/>
    </sheetView>
  </sheetViews>
  <sheetFormatPr defaultColWidth="9" defaultRowHeight="12"/>
  <cols>
    <col min="1" max="2" width="9" style="1"/>
    <col min="3" max="3" width="11.125" style="1" customWidth="1"/>
    <col min="4" max="4" width="7.5" style="1" customWidth="1"/>
    <col min="5" max="5" width="9" style="1" hidden="1" customWidth="1"/>
    <col min="6" max="6" width="10.75" style="1" customWidth="1"/>
    <col min="7" max="8" width="10" style="1" customWidth="1"/>
    <col min="9" max="10" width="7.375" style="1" hidden="1" customWidth="1"/>
    <col min="11" max="11" width="6.75" style="1" hidden="1" customWidth="1"/>
    <col min="12" max="12" width="9" style="1" hidden="1" customWidth="1"/>
    <col min="13" max="13" width="6.375" style="1" hidden="1" customWidth="1"/>
    <col min="14" max="14" width="5.25" style="1" hidden="1" customWidth="1"/>
    <col min="15" max="18" width="9" style="1" hidden="1" customWidth="1"/>
    <col min="19" max="16384" width="9" style="1"/>
  </cols>
  <sheetData>
    <row r="1" spans="2:18">
      <c r="B1" s="2"/>
      <c r="C1" s="2"/>
      <c r="D1" s="2"/>
      <c r="E1" s="2"/>
      <c r="F1" s="2"/>
      <c r="G1" s="2"/>
      <c r="H1" s="3"/>
      <c r="I1" s="2"/>
      <c r="J1" s="2"/>
      <c r="K1" s="2"/>
    </row>
    <row r="2" spans="2:18">
      <c r="B2" s="3"/>
      <c r="C2" s="3"/>
      <c r="D2" s="3"/>
      <c r="E2" s="3"/>
      <c r="F2" s="3"/>
      <c r="G2" s="3"/>
      <c r="H2" s="3"/>
      <c r="I2" s="3"/>
      <c r="J2" s="3"/>
      <c r="K2" s="3"/>
    </row>
    <row r="3" spans="2:18" ht="13.5">
      <c r="B3" s="28" t="s">
        <v>95</v>
      </c>
      <c r="C3" s="28"/>
      <c r="D3" s="28"/>
      <c r="E3" s="28"/>
      <c r="F3" s="28"/>
      <c r="G3" s="28"/>
      <c r="H3" s="28"/>
      <c r="I3" s="28"/>
      <c r="J3" s="28"/>
      <c r="K3" s="28"/>
    </row>
    <row r="4" spans="2:18" ht="14.25">
      <c r="B4" s="29" t="s">
        <v>96</v>
      </c>
      <c r="C4" s="29"/>
      <c r="D4" s="29"/>
      <c r="E4" s="29"/>
      <c r="F4" s="29"/>
      <c r="G4" s="29"/>
      <c r="H4" s="29"/>
      <c r="I4" s="29"/>
      <c r="J4" s="29" t="s">
        <v>97</v>
      </c>
      <c r="K4" s="29"/>
      <c r="M4" s="30" t="s">
        <v>98</v>
      </c>
      <c r="N4" s="31"/>
      <c r="O4" s="31"/>
      <c r="P4" s="31"/>
      <c r="Q4" s="31"/>
      <c r="R4" s="31"/>
    </row>
    <row r="5" spans="2:18" ht="13.5">
      <c r="B5" s="32" t="s">
        <v>99</v>
      </c>
      <c r="C5" s="32"/>
      <c r="D5" s="32"/>
      <c r="E5" s="32"/>
      <c r="F5" s="32"/>
      <c r="G5" s="32"/>
      <c r="H5" s="32"/>
      <c r="I5" s="32"/>
      <c r="J5" s="32"/>
      <c r="K5" s="7" t="s">
        <v>100</v>
      </c>
      <c r="M5" s="33" t="s">
        <v>101</v>
      </c>
      <c r="N5" s="33"/>
      <c r="O5" s="33" t="s">
        <v>102</v>
      </c>
      <c r="P5" s="33"/>
      <c r="Q5" s="8" t="s">
        <v>103</v>
      </c>
      <c r="R5" s="8" t="s">
        <v>104</v>
      </c>
    </row>
    <row r="6" spans="2:18" ht="14.25">
      <c r="B6" s="34" t="s">
        <v>105</v>
      </c>
      <c r="C6" s="34"/>
      <c r="D6" s="34" t="s">
        <v>106</v>
      </c>
      <c r="E6" s="34"/>
      <c r="F6" s="4" t="s">
        <v>2</v>
      </c>
      <c r="G6" s="4" t="s">
        <v>3</v>
      </c>
      <c r="H6" s="4" t="s">
        <v>5</v>
      </c>
      <c r="I6" s="4" t="s">
        <v>107</v>
      </c>
      <c r="J6" s="4" t="s">
        <v>108</v>
      </c>
      <c r="K6" s="9" t="s">
        <v>109</v>
      </c>
      <c r="M6" s="34">
        <v>1</v>
      </c>
      <c r="N6" s="34"/>
      <c r="O6" s="34" t="s">
        <v>110</v>
      </c>
      <c r="P6" s="34"/>
      <c r="Q6" s="4">
        <v>0</v>
      </c>
      <c r="R6" s="4"/>
    </row>
    <row r="7" spans="2:18" ht="13.5">
      <c r="B7" s="35" t="s">
        <v>111</v>
      </c>
      <c r="C7" s="35"/>
      <c r="D7" s="34" t="s">
        <v>112</v>
      </c>
      <c r="E7" s="34"/>
      <c r="F7" s="4" t="s">
        <v>113</v>
      </c>
      <c r="G7" s="4" t="s">
        <v>114</v>
      </c>
      <c r="H7" s="4"/>
      <c r="I7" s="5" t="s">
        <v>115</v>
      </c>
      <c r="J7" s="5" t="s">
        <v>116</v>
      </c>
      <c r="K7" s="10">
        <f t="shared" ref="K7:K98" si="0">IF(AND(J7="EI",I7="简单"),3,IF(AND(J7="EI",I7="普通"),4,IF(AND(J7="EI",I7="复杂"),6,IF(AND(J7="EO",I7="简单"),4,IF(AND(J7="EO",I7="普通"),5,IF(AND(J7="EO",I7="复杂"),7,IF(AND(J7="EQ",I7="简单"),3,IF(AND(J7="EQ",I7="普通"),4,IF(AND(J7="EQ",I7="复杂"),6,IF(AND(J7="ILF",I7="简单"),7,IF(AND(J7="ILF",I7="普通"),10,IF(AND(J7="ILF",I7="复杂"),15,IF(AND(J7="EIF",I7="简单"),5,IF(AND(J7="EIF",I7="普通"),7,IF(AND(J7="EIF",I7="复杂"),10,0)))))))))))))))</f>
        <v>7</v>
      </c>
      <c r="M7" s="34">
        <v>2</v>
      </c>
      <c r="N7" s="34"/>
      <c r="O7" s="34" t="s">
        <v>117</v>
      </c>
      <c r="P7" s="34"/>
      <c r="Q7" s="4">
        <v>0</v>
      </c>
      <c r="R7" s="4"/>
    </row>
    <row r="8" spans="2:18" ht="13.5">
      <c r="B8" s="5"/>
      <c r="C8" s="5"/>
      <c r="D8" s="4"/>
      <c r="E8" s="4"/>
      <c r="F8" s="6"/>
      <c r="G8" s="4" t="s">
        <v>118</v>
      </c>
      <c r="H8" s="4"/>
      <c r="I8" s="5" t="s">
        <v>115</v>
      </c>
      <c r="J8" s="5" t="s">
        <v>119</v>
      </c>
      <c r="K8" s="10">
        <f t="shared" si="0"/>
        <v>3</v>
      </c>
      <c r="M8" s="34">
        <v>3</v>
      </c>
      <c r="N8" s="34"/>
      <c r="O8" s="34" t="s">
        <v>120</v>
      </c>
      <c r="P8" s="34"/>
      <c r="Q8" s="4">
        <v>3</v>
      </c>
      <c r="R8" s="4"/>
    </row>
    <row r="9" spans="2:18" ht="13.5">
      <c r="B9" s="5"/>
      <c r="C9" s="5"/>
      <c r="D9" s="4"/>
      <c r="E9" s="4"/>
      <c r="F9" s="6"/>
      <c r="G9" s="4" t="s">
        <v>121</v>
      </c>
      <c r="H9" s="4"/>
      <c r="I9" s="5" t="s">
        <v>115</v>
      </c>
      <c r="J9" s="5" t="s">
        <v>119</v>
      </c>
      <c r="K9" s="10">
        <f t="shared" si="0"/>
        <v>3</v>
      </c>
      <c r="M9" s="34">
        <v>4</v>
      </c>
      <c r="N9" s="34"/>
      <c r="O9" s="34" t="s">
        <v>122</v>
      </c>
      <c r="P9" s="34"/>
      <c r="Q9" s="4">
        <v>2</v>
      </c>
      <c r="R9" s="4"/>
    </row>
    <row r="10" spans="2:18" ht="13.5">
      <c r="B10" s="5"/>
      <c r="C10" s="5"/>
      <c r="D10" s="4"/>
      <c r="E10" s="4"/>
      <c r="F10" s="6"/>
      <c r="G10" s="4" t="s">
        <v>123</v>
      </c>
      <c r="H10" s="4"/>
      <c r="I10" s="5" t="s">
        <v>115</v>
      </c>
      <c r="J10" s="5" t="s">
        <v>119</v>
      </c>
      <c r="K10" s="10">
        <f t="shared" si="0"/>
        <v>3</v>
      </c>
      <c r="M10" s="34">
        <v>5</v>
      </c>
      <c r="N10" s="34"/>
      <c r="O10" s="34" t="s">
        <v>124</v>
      </c>
      <c r="P10" s="34"/>
      <c r="Q10" s="4">
        <v>3</v>
      </c>
      <c r="R10" s="4"/>
    </row>
    <row r="11" spans="2:18" ht="13.5">
      <c r="B11" s="5"/>
      <c r="C11" s="5"/>
      <c r="D11" s="4"/>
      <c r="E11" s="4"/>
      <c r="F11" s="6"/>
      <c r="G11" s="4" t="s">
        <v>125</v>
      </c>
      <c r="H11" s="4"/>
      <c r="I11" s="5" t="s">
        <v>115</v>
      </c>
      <c r="J11" s="5" t="s">
        <v>126</v>
      </c>
      <c r="K11" s="10">
        <f t="shared" si="0"/>
        <v>4</v>
      </c>
      <c r="M11" s="34">
        <v>6</v>
      </c>
      <c r="N11" s="34"/>
      <c r="O11" s="34" t="s">
        <v>127</v>
      </c>
      <c r="P11" s="34"/>
      <c r="Q11" s="4">
        <v>3</v>
      </c>
      <c r="R11" s="4"/>
    </row>
    <row r="12" spans="2:18" ht="13.5">
      <c r="B12" s="35"/>
      <c r="C12" s="35"/>
      <c r="D12" s="4"/>
      <c r="E12" s="4"/>
      <c r="F12" s="4" t="s">
        <v>128</v>
      </c>
      <c r="G12" s="4" t="s">
        <v>129</v>
      </c>
      <c r="H12" s="4"/>
      <c r="I12" s="5" t="s">
        <v>115</v>
      </c>
      <c r="J12" s="5" t="s">
        <v>116</v>
      </c>
      <c r="K12" s="10">
        <f t="shared" si="0"/>
        <v>7</v>
      </c>
      <c r="M12" s="34">
        <v>7</v>
      </c>
      <c r="N12" s="34"/>
      <c r="O12" s="34" t="s">
        <v>130</v>
      </c>
      <c r="P12" s="34"/>
      <c r="Q12" s="4">
        <v>5</v>
      </c>
      <c r="R12" s="4"/>
    </row>
    <row r="13" spans="2:18" ht="13.5">
      <c r="B13" s="5"/>
      <c r="C13" s="5"/>
      <c r="D13" s="4"/>
      <c r="E13" s="4"/>
      <c r="F13" s="4"/>
      <c r="G13" s="4" t="s">
        <v>131</v>
      </c>
      <c r="H13" s="4"/>
      <c r="I13" s="5" t="s">
        <v>115</v>
      </c>
      <c r="J13" s="5" t="s">
        <v>119</v>
      </c>
      <c r="K13" s="10">
        <f t="shared" si="0"/>
        <v>3</v>
      </c>
      <c r="M13" s="34">
        <v>8</v>
      </c>
      <c r="N13" s="34"/>
      <c r="O13" s="34" t="s">
        <v>132</v>
      </c>
      <c r="P13" s="34"/>
      <c r="Q13" s="4">
        <v>0</v>
      </c>
      <c r="R13" s="4"/>
    </row>
    <row r="14" spans="2:18" ht="13.5">
      <c r="B14" s="5"/>
      <c r="C14" s="5"/>
      <c r="D14" s="4"/>
      <c r="E14" s="4"/>
      <c r="F14" s="4"/>
      <c r="G14" s="4" t="s">
        <v>133</v>
      </c>
      <c r="H14" s="4"/>
      <c r="I14" s="5" t="s">
        <v>115</v>
      </c>
      <c r="J14" s="5" t="s">
        <v>119</v>
      </c>
      <c r="K14" s="10">
        <f t="shared" si="0"/>
        <v>3</v>
      </c>
      <c r="M14" s="34">
        <v>9</v>
      </c>
      <c r="N14" s="34"/>
      <c r="O14" s="34" t="s">
        <v>134</v>
      </c>
      <c r="P14" s="34"/>
      <c r="Q14" s="4">
        <v>4</v>
      </c>
      <c r="R14" s="4"/>
    </row>
    <row r="15" spans="2:18" ht="13.5">
      <c r="B15" s="5"/>
      <c r="C15" s="5"/>
      <c r="D15" s="4"/>
      <c r="E15" s="4"/>
      <c r="F15" s="4"/>
      <c r="G15" s="4" t="s">
        <v>135</v>
      </c>
      <c r="H15" s="4"/>
      <c r="I15" s="5" t="s">
        <v>115</v>
      </c>
      <c r="J15" s="5" t="s">
        <v>119</v>
      </c>
      <c r="K15" s="10">
        <f t="shared" si="0"/>
        <v>3</v>
      </c>
      <c r="M15" s="34">
        <v>10</v>
      </c>
      <c r="N15" s="34"/>
      <c r="O15" s="34" t="s">
        <v>136</v>
      </c>
      <c r="P15" s="34"/>
      <c r="Q15" s="4">
        <v>1</v>
      </c>
      <c r="R15" s="4"/>
    </row>
    <row r="16" spans="2:18" ht="13.5">
      <c r="B16" s="5"/>
      <c r="C16" s="5"/>
      <c r="D16" s="4"/>
      <c r="E16" s="4"/>
      <c r="F16" s="4"/>
      <c r="G16" s="4" t="s">
        <v>137</v>
      </c>
      <c r="H16" s="4"/>
      <c r="I16" s="5" t="s">
        <v>115</v>
      </c>
      <c r="J16" s="5" t="s">
        <v>126</v>
      </c>
      <c r="K16" s="10">
        <f t="shared" si="0"/>
        <v>4</v>
      </c>
      <c r="M16" s="34">
        <v>11</v>
      </c>
      <c r="N16" s="34"/>
      <c r="O16" s="34" t="s">
        <v>138</v>
      </c>
      <c r="P16" s="34"/>
      <c r="Q16" s="4">
        <v>2</v>
      </c>
      <c r="R16" s="4"/>
    </row>
    <row r="17" spans="2:18" ht="13.5">
      <c r="B17" s="35"/>
      <c r="C17" s="35"/>
      <c r="D17" s="4"/>
      <c r="E17" s="4"/>
      <c r="F17" s="4" t="s">
        <v>139</v>
      </c>
      <c r="G17" s="4" t="s">
        <v>140</v>
      </c>
      <c r="H17" s="4"/>
      <c r="I17" s="5" t="s">
        <v>115</v>
      </c>
      <c r="J17" s="5" t="s">
        <v>116</v>
      </c>
      <c r="K17" s="10">
        <f t="shared" si="0"/>
        <v>7</v>
      </c>
      <c r="M17" s="34">
        <v>12</v>
      </c>
      <c r="N17" s="34"/>
      <c r="O17" s="34" t="s">
        <v>141</v>
      </c>
      <c r="P17" s="34"/>
      <c r="Q17" s="4">
        <v>5</v>
      </c>
      <c r="R17" s="4"/>
    </row>
    <row r="18" spans="2:18" ht="13.5">
      <c r="B18" s="5"/>
      <c r="C18" s="5"/>
      <c r="D18" s="4"/>
      <c r="E18" s="4"/>
      <c r="F18" s="4"/>
      <c r="G18" s="4" t="s">
        <v>131</v>
      </c>
      <c r="H18" s="4"/>
      <c r="I18" s="5" t="s">
        <v>115</v>
      </c>
      <c r="J18" s="5" t="s">
        <v>119</v>
      </c>
      <c r="K18" s="10">
        <f t="shared" si="0"/>
        <v>3</v>
      </c>
      <c r="M18" s="34">
        <v>13</v>
      </c>
      <c r="N18" s="34"/>
      <c r="O18" s="34" t="s">
        <v>142</v>
      </c>
      <c r="P18" s="34"/>
      <c r="Q18" s="4">
        <v>3</v>
      </c>
      <c r="R18" s="4"/>
    </row>
    <row r="19" spans="2:18" ht="13.5">
      <c r="B19" s="5"/>
      <c r="C19" s="5"/>
      <c r="D19" s="4"/>
      <c r="E19" s="4"/>
      <c r="F19" s="4"/>
      <c r="G19" s="4" t="s">
        <v>133</v>
      </c>
      <c r="H19" s="4"/>
      <c r="I19" s="5" t="s">
        <v>115</v>
      </c>
      <c r="J19" s="5" t="s">
        <v>119</v>
      </c>
      <c r="K19" s="10">
        <f t="shared" si="0"/>
        <v>3</v>
      </c>
      <c r="M19" s="34">
        <v>14</v>
      </c>
      <c r="N19" s="34"/>
      <c r="O19" s="34" t="s">
        <v>143</v>
      </c>
      <c r="P19" s="34"/>
      <c r="Q19" s="4">
        <v>4</v>
      </c>
      <c r="R19" s="4"/>
    </row>
    <row r="20" spans="2:18" ht="13.5">
      <c r="B20" s="5"/>
      <c r="C20" s="5"/>
      <c r="D20" s="4"/>
      <c r="E20" s="4"/>
      <c r="F20" s="4"/>
      <c r="G20" s="4" t="s">
        <v>135</v>
      </c>
      <c r="H20" s="4"/>
      <c r="I20" s="5" t="s">
        <v>115</v>
      </c>
      <c r="J20" s="5" t="s">
        <v>119</v>
      </c>
      <c r="K20" s="10">
        <f t="shared" si="0"/>
        <v>3</v>
      </c>
      <c r="M20" s="36" t="s">
        <v>144</v>
      </c>
      <c r="N20" s="37"/>
      <c r="O20" s="37"/>
      <c r="P20" s="38"/>
      <c r="Q20" s="4">
        <f>SUM(Q6:Q19)</f>
        <v>35</v>
      </c>
      <c r="R20" s="4"/>
    </row>
    <row r="21" spans="2:18" ht="13.5">
      <c r="B21" s="5"/>
      <c r="C21" s="5"/>
      <c r="D21" s="4"/>
      <c r="E21" s="4"/>
      <c r="F21" s="4"/>
      <c r="G21" s="4" t="s">
        <v>137</v>
      </c>
      <c r="H21" s="4"/>
      <c r="I21" s="5" t="s">
        <v>115</v>
      </c>
      <c r="J21" s="5" t="s">
        <v>126</v>
      </c>
      <c r="K21" s="10">
        <f t="shared" si="0"/>
        <v>4</v>
      </c>
      <c r="M21" s="11" t="s">
        <v>145</v>
      </c>
      <c r="N21" s="11"/>
      <c r="O21" s="11" t="s">
        <v>146</v>
      </c>
      <c r="P21" s="11"/>
      <c r="Q21" s="11"/>
      <c r="R21" s="11"/>
    </row>
    <row r="22" spans="2:18" ht="13.5">
      <c r="B22" s="35"/>
      <c r="C22" s="35"/>
      <c r="D22" s="4"/>
      <c r="E22" s="4"/>
      <c r="F22" s="4" t="s">
        <v>147</v>
      </c>
      <c r="G22" s="4" t="s">
        <v>148</v>
      </c>
      <c r="H22" s="4"/>
      <c r="I22" s="5" t="s">
        <v>115</v>
      </c>
      <c r="J22" s="5" t="s">
        <v>116</v>
      </c>
      <c r="K22" s="10">
        <f t="shared" si="0"/>
        <v>7</v>
      </c>
      <c r="M22" s="11"/>
      <c r="N22" s="11"/>
      <c r="O22" s="11"/>
      <c r="P22" s="11"/>
      <c r="Q22" s="11"/>
      <c r="R22" s="11"/>
    </row>
    <row r="23" spans="2:18" ht="13.5">
      <c r="B23" s="5"/>
      <c r="C23" s="5"/>
      <c r="D23" s="4"/>
      <c r="E23" s="4"/>
      <c r="F23" s="4"/>
      <c r="G23" s="4" t="s">
        <v>147</v>
      </c>
      <c r="H23" s="4"/>
      <c r="I23" s="5" t="s">
        <v>115</v>
      </c>
      <c r="J23" s="5" t="s">
        <v>119</v>
      </c>
      <c r="K23" s="10">
        <f t="shared" si="0"/>
        <v>3</v>
      </c>
      <c r="M23" s="33" t="s">
        <v>149</v>
      </c>
      <c r="N23" s="33"/>
      <c r="O23" s="33" t="e">
        <f>ROUND(#REF!*(0.65+0.01*Q20),0)</f>
        <v>#REF!</v>
      </c>
      <c r="P23" s="33"/>
      <c r="Q23" s="11"/>
      <c r="R23" s="11"/>
    </row>
    <row r="24" spans="2:18" ht="13.5">
      <c r="B24" s="5"/>
      <c r="C24" s="5"/>
      <c r="D24" s="4"/>
      <c r="E24" s="4"/>
      <c r="F24" s="4" t="s">
        <v>150</v>
      </c>
      <c r="G24" s="4" t="s">
        <v>151</v>
      </c>
      <c r="H24" s="4"/>
      <c r="I24" s="5" t="s">
        <v>115</v>
      </c>
      <c r="J24" s="5" t="s">
        <v>116</v>
      </c>
      <c r="K24" s="10">
        <f t="shared" si="0"/>
        <v>7</v>
      </c>
    </row>
    <row r="25" spans="2:18" ht="13.5">
      <c r="B25" s="5"/>
      <c r="C25" s="5"/>
      <c r="D25" s="4"/>
      <c r="E25" s="4"/>
      <c r="F25" s="4"/>
      <c r="G25" s="4" t="s">
        <v>137</v>
      </c>
      <c r="H25" s="4"/>
      <c r="I25" s="5" t="s">
        <v>115</v>
      </c>
      <c r="J25" s="5" t="s">
        <v>126</v>
      </c>
      <c r="K25" s="10">
        <f t="shared" si="0"/>
        <v>4</v>
      </c>
    </row>
    <row r="26" spans="2:18" ht="13.5">
      <c r="B26" s="5"/>
      <c r="C26" s="5"/>
      <c r="D26" s="4"/>
      <c r="E26" s="4"/>
      <c r="F26" s="4"/>
      <c r="G26" s="4" t="s">
        <v>152</v>
      </c>
      <c r="H26" s="4"/>
      <c r="I26" s="5" t="s">
        <v>115</v>
      </c>
      <c r="J26" s="5" t="s">
        <v>119</v>
      </c>
      <c r="K26" s="10">
        <f t="shared" si="0"/>
        <v>3</v>
      </c>
    </row>
    <row r="27" spans="2:18" ht="13.5">
      <c r="B27" s="35"/>
      <c r="C27" s="35"/>
      <c r="D27" s="4"/>
      <c r="E27" s="4"/>
      <c r="F27" s="4"/>
      <c r="G27" s="4" t="s">
        <v>153</v>
      </c>
      <c r="H27" s="4"/>
      <c r="I27" s="5" t="s">
        <v>115</v>
      </c>
      <c r="J27" s="5" t="s">
        <v>119</v>
      </c>
      <c r="K27" s="10">
        <f t="shared" si="0"/>
        <v>3</v>
      </c>
    </row>
    <row r="28" spans="2:18" ht="13.5">
      <c r="B28" s="5"/>
      <c r="C28" s="5"/>
      <c r="D28" s="4" t="s">
        <v>154</v>
      </c>
      <c r="E28" s="4"/>
      <c r="F28" s="4" t="s">
        <v>155</v>
      </c>
      <c r="G28" s="4" t="s">
        <v>156</v>
      </c>
      <c r="H28" s="4"/>
      <c r="I28" s="5" t="s">
        <v>157</v>
      </c>
      <c r="J28" s="5" t="s">
        <v>116</v>
      </c>
      <c r="K28" s="10">
        <f t="shared" ref="K28:K40" si="1">IF(AND(J28="EI",I28="简单"),3,IF(AND(J28="EI",I28="普通"),4,IF(AND(J28="EI",I28="复杂"),6,IF(AND(J28="EO",I28="简单"),4,IF(AND(J28="EO",I28="普通"),5,IF(AND(J28="EO",I28="复杂"),7,IF(AND(J28="EQ",I28="简单"),3,IF(AND(J28="EQ",I28="普通"),4,IF(AND(J28="EQ",I28="复杂"),6,IF(AND(J28="ILF",I28="简单"),7,IF(AND(J28="ILF",I28="普通"),10,IF(AND(J28="ILF",I28="复杂"),15,IF(AND(J28="EIF",I28="简单"),5,IF(AND(J28="EIF",I28="普通"),7,IF(AND(J28="EIF",I28="复杂"),10,0)))))))))))))))</f>
        <v>10</v>
      </c>
    </row>
    <row r="29" spans="2:18" ht="13.5">
      <c r="B29" s="5"/>
      <c r="C29" s="5"/>
      <c r="D29" s="4"/>
      <c r="E29" s="4"/>
      <c r="F29" s="4"/>
      <c r="G29" s="4" t="s">
        <v>158</v>
      </c>
      <c r="H29" s="4"/>
      <c r="I29" s="5" t="s">
        <v>157</v>
      </c>
      <c r="J29" s="5" t="s">
        <v>119</v>
      </c>
      <c r="K29" s="10">
        <f t="shared" si="1"/>
        <v>4</v>
      </c>
    </row>
    <row r="30" spans="2:18" ht="13.5">
      <c r="B30" s="5"/>
      <c r="C30" s="5"/>
      <c r="D30" s="4"/>
      <c r="E30" s="4"/>
      <c r="F30" s="4"/>
      <c r="G30" s="4"/>
      <c r="H30" s="4" t="s">
        <v>159</v>
      </c>
      <c r="I30" s="5"/>
      <c r="J30" s="5"/>
      <c r="K30" s="10"/>
    </row>
    <row r="31" spans="2:18" ht="13.5">
      <c r="B31" s="5"/>
      <c r="C31" s="5"/>
      <c r="D31" s="4"/>
      <c r="E31" s="4"/>
      <c r="F31" s="4"/>
      <c r="G31" s="4"/>
      <c r="H31" s="4" t="s">
        <v>160</v>
      </c>
      <c r="I31" s="5" t="s">
        <v>157</v>
      </c>
      <c r="J31" s="5" t="s">
        <v>119</v>
      </c>
      <c r="K31" s="10">
        <f t="shared" si="1"/>
        <v>4</v>
      </c>
    </row>
    <row r="32" spans="2:18" ht="13.5">
      <c r="B32" s="5"/>
      <c r="C32" s="5"/>
      <c r="D32" s="4"/>
      <c r="E32" s="4"/>
      <c r="F32" s="4"/>
      <c r="G32" s="4"/>
      <c r="H32" s="4" t="s">
        <v>161</v>
      </c>
      <c r="I32" s="5" t="s">
        <v>157</v>
      </c>
      <c r="J32" s="5" t="s">
        <v>119</v>
      </c>
      <c r="K32" s="10">
        <f t="shared" si="1"/>
        <v>4</v>
      </c>
    </row>
    <row r="33" spans="2:11" ht="13.5">
      <c r="B33" s="5"/>
      <c r="C33" s="5"/>
      <c r="D33" s="4"/>
      <c r="E33" s="4"/>
      <c r="F33" s="4"/>
      <c r="G33" s="4"/>
      <c r="H33" s="4" t="s">
        <v>162</v>
      </c>
      <c r="I33" s="5" t="s">
        <v>157</v>
      </c>
      <c r="J33" s="5" t="s">
        <v>126</v>
      </c>
      <c r="K33" s="10">
        <f t="shared" si="1"/>
        <v>5</v>
      </c>
    </row>
    <row r="34" spans="2:11" ht="13.5">
      <c r="B34" s="5"/>
      <c r="C34" s="5"/>
      <c r="D34" s="4"/>
      <c r="E34" s="4"/>
      <c r="F34" s="4"/>
      <c r="G34" s="4"/>
      <c r="H34" s="4" t="s">
        <v>163</v>
      </c>
      <c r="I34" s="5" t="s">
        <v>164</v>
      </c>
      <c r="J34" s="5" t="s">
        <v>165</v>
      </c>
      <c r="K34" s="10">
        <f t="shared" si="1"/>
        <v>10</v>
      </c>
    </row>
    <row r="35" spans="2:11" ht="13.5">
      <c r="B35" s="5"/>
      <c r="C35" s="5"/>
      <c r="D35" s="4"/>
      <c r="E35" s="4"/>
      <c r="F35" s="4"/>
      <c r="G35" s="4"/>
      <c r="H35" s="4" t="s">
        <v>166</v>
      </c>
      <c r="I35" s="5" t="s">
        <v>164</v>
      </c>
      <c r="J35" s="5" t="s">
        <v>165</v>
      </c>
      <c r="K35" s="10">
        <f t="shared" ref="K35" si="2">IF(AND(J35="EI",I35="简单"),3,IF(AND(J35="EI",I35="普通"),4,IF(AND(J35="EI",I35="复杂"),6,IF(AND(J35="EO",I35="简单"),4,IF(AND(J35="EO",I35="普通"),5,IF(AND(J35="EO",I35="复杂"),7,IF(AND(J35="EQ",I35="简单"),3,IF(AND(J35="EQ",I35="普通"),4,IF(AND(J35="EQ",I35="复杂"),6,IF(AND(J35="ILF",I35="简单"),7,IF(AND(J35="ILF",I35="普通"),10,IF(AND(J35="ILF",I35="复杂"),15,IF(AND(J35="EIF",I35="简单"),5,IF(AND(J35="EIF",I35="普通"),7,IF(AND(J35="EIF",I35="复杂"),10,0)))))))))))))))</f>
        <v>10</v>
      </c>
    </row>
    <row r="36" spans="2:11" ht="13.5">
      <c r="B36" s="5"/>
      <c r="C36" s="5"/>
      <c r="D36" s="4"/>
      <c r="E36" s="4"/>
      <c r="F36" s="4"/>
      <c r="G36" s="4" t="s">
        <v>167</v>
      </c>
      <c r="H36" s="4"/>
      <c r="I36" s="5" t="s">
        <v>157</v>
      </c>
      <c r="J36" s="5" t="s">
        <v>119</v>
      </c>
      <c r="K36" s="10">
        <f t="shared" si="1"/>
        <v>4</v>
      </c>
    </row>
    <row r="37" spans="2:11" ht="13.5">
      <c r="B37" s="5"/>
      <c r="C37" s="5"/>
      <c r="D37" s="4"/>
      <c r="E37" s="4"/>
      <c r="F37" s="4"/>
      <c r="G37" s="4" t="s">
        <v>168</v>
      </c>
      <c r="H37" s="4"/>
      <c r="I37" s="5" t="s">
        <v>157</v>
      </c>
      <c r="J37" s="5" t="s">
        <v>126</v>
      </c>
      <c r="K37" s="10">
        <f t="shared" si="1"/>
        <v>5</v>
      </c>
    </row>
    <row r="38" spans="2:11" ht="13.5">
      <c r="B38" s="5"/>
      <c r="C38" s="5"/>
      <c r="D38" s="4"/>
      <c r="E38" s="4"/>
      <c r="F38" s="4"/>
      <c r="G38" s="4"/>
      <c r="H38" s="4" t="s">
        <v>169</v>
      </c>
      <c r="I38" s="5"/>
      <c r="J38" s="5"/>
      <c r="K38" s="10"/>
    </row>
    <row r="39" spans="2:11" ht="13.5">
      <c r="B39" s="5"/>
      <c r="C39" s="5"/>
      <c r="D39" s="4"/>
      <c r="E39" s="4"/>
      <c r="F39" s="4"/>
      <c r="G39" s="4"/>
      <c r="H39" s="4" t="s">
        <v>170</v>
      </c>
      <c r="I39" s="5"/>
      <c r="J39" s="5"/>
      <c r="K39" s="10"/>
    </row>
    <row r="40" spans="2:11" ht="13.5">
      <c r="B40" s="5"/>
      <c r="C40" s="5"/>
      <c r="D40" s="4"/>
      <c r="E40" s="4"/>
      <c r="F40" s="4"/>
      <c r="G40" s="4" t="s">
        <v>171</v>
      </c>
      <c r="H40" s="4"/>
      <c r="I40" s="5" t="s">
        <v>164</v>
      </c>
      <c r="J40" s="5" t="s">
        <v>165</v>
      </c>
      <c r="K40" s="10">
        <f t="shared" si="1"/>
        <v>10</v>
      </c>
    </row>
    <row r="41" spans="2:11" ht="13.5">
      <c r="B41" s="5"/>
      <c r="C41" s="5"/>
      <c r="D41" s="4"/>
      <c r="E41" s="4"/>
      <c r="F41" s="4" t="s">
        <v>172</v>
      </c>
      <c r="G41" s="4" t="s">
        <v>173</v>
      </c>
      <c r="H41" s="4"/>
      <c r="I41" s="5" t="s">
        <v>157</v>
      </c>
      <c r="J41" s="5" t="s">
        <v>116</v>
      </c>
      <c r="K41" s="10">
        <f t="shared" ref="K41:K49" si="3">IF(AND(J41="EI",I41="简单"),3,IF(AND(J41="EI",I41="普通"),4,IF(AND(J41="EI",I41="复杂"),6,IF(AND(J41="EO",I41="简单"),4,IF(AND(J41="EO",I41="普通"),5,IF(AND(J41="EO",I41="复杂"),7,IF(AND(J41="EQ",I41="简单"),3,IF(AND(J41="EQ",I41="普通"),4,IF(AND(J41="EQ",I41="复杂"),6,IF(AND(J41="ILF",I41="简单"),7,IF(AND(J41="ILF",I41="普通"),10,IF(AND(J41="ILF",I41="复杂"),15,IF(AND(J41="EIF",I41="简单"),5,IF(AND(J41="EIF",I41="普通"),7,IF(AND(J41="EIF",I41="复杂"),10,0)))))))))))))))</f>
        <v>10</v>
      </c>
    </row>
    <row r="42" spans="2:11" ht="13.5">
      <c r="B42" s="5"/>
      <c r="C42" s="5"/>
      <c r="D42" s="4"/>
      <c r="E42" s="4"/>
      <c r="F42" s="4"/>
      <c r="G42" s="4" t="s">
        <v>174</v>
      </c>
      <c r="H42" s="4"/>
      <c r="I42" s="5" t="s">
        <v>157</v>
      </c>
      <c r="J42" s="5" t="s">
        <v>119</v>
      </c>
      <c r="K42" s="10">
        <f t="shared" si="3"/>
        <v>4</v>
      </c>
    </row>
    <row r="43" spans="2:11" ht="13.5">
      <c r="B43" s="5"/>
      <c r="C43" s="5"/>
      <c r="D43" s="4"/>
      <c r="E43" s="4"/>
      <c r="F43" s="4"/>
      <c r="G43" s="4"/>
      <c r="H43" s="4" t="s">
        <v>168</v>
      </c>
      <c r="I43" s="5"/>
      <c r="J43" s="5"/>
      <c r="K43" s="10"/>
    </row>
    <row r="44" spans="2:11" ht="13.5">
      <c r="B44" s="5"/>
      <c r="C44" s="5"/>
      <c r="D44" s="4"/>
      <c r="E44" s="4"/>
      <c r="F44" s="4"/>
      <c r="G44" s="4"/>
      <c r="H44" s="4" t="s">
        <v>175</v>
      </c>
      <c r="I44" s="5"/>
      <c r="J44" s="5"/>
      <c r="K44" s="10"/>
    </row>
    <row r="45" spans="2:11" ht="13.5">
      <c r="B45" s="5"/>
      <c r="C45" s="5"/>
      <c r="D45" s="4"/>
      <c r="E45" s="4"/>
      <c r="F45" s="4"/>
      <c r="G45" s="4"/>
      <c r="H45" s="4" t="s">
        <v>171</v>
      </c>
      <c r="I45" s="5"/>
      <c r="J45" s="5"/>
      <c r="K45" s="10"/>
    </row>
    <row r="46" spans="2:11" ht="13.5">
      <c r="B46" s="5"/>
      <c r="C46" s="5"/>
      <c r="D46" s="4"/>
      <c r="E46" s="4"/>
      <c r="F46" s="4"/>
      <c r="G46" s="4" t="s">
        <v>176</v>
      </c>
      <c r="H46" s="4"/>
      <c r="I46" s="5" t="s">
        <v>157</v>
      </c>
      <c r="J46" s="5" t="s">
        <v>119</v>
      </c>
      <c r="K46" s="10">
        <f t="shared" si="3"/>
        <v>4</v>
      </c>
    </row>
    <row r="47" spans="2:11" ht="13.5">
      <c r="B47" s="5"/>
      <c r="C47" s="5"/>
      <c r="D47" s="4"/>
      <c r="E47" s="4"/>
      <c r="F47" s="4"/>
      <c r="G47" s="4" t="s">
        <v>177</v>
      </c>
      <c r="H47" s="4"/>
      <c r="I47" s="5" t="s">
        <v>157</v>
      </c>
      <c r="J47" s="5" t="s">
        <v>126</v>
      </c>
      <c r="K47" s="10">
        <f t="shared" si="3"/>
        <v>5</v>
      </c>
    </row>
    <row r="48" spans="2:11" ht="13.5">
      <c r="B48" s="5"/>
      <c r="C48" s="5"/>
      <c r="D48" s="4"/>
      <c r="E48" s="4"/>
      <c r="F48" s="4"/>
      <c r="G48" s="4"/>
      <c r="H48" s="4" t="s">
        <v>170</v>
      </c>
      <c r="I48" s="5"/>
      <c r="J48" s="5"/>
      <c r="K48" s="10"/>
    </row>
    <row r="49" spans="2:11" ht="13.5">
      <c r="B49" s="5"/>
      <c r="C49" s="5"/>
      <c r="D49" s="4"/>
      <c r="E49" s="4"/>
      <c r="F49" s="4"/>
      <c r="G49" s="4" t="s">
        <v>178</v>
      </c>
      <c r="H49" s="4"/>
      <c r="I49" s="5" t="s">
        <v>164</v>
      </c>
      <c r="J49" s="5" t="s">
        <v>165</v>
      </c>
      <c r="K49" s="10">
        <f t="shared" si="3"/>
        <v>10</v>
      </c>
    </row>
    <row r="50" spans="2:11" ht="13.5">
      <c r="B50" s="5"/>
      <c r="C50" s="5"/>
      <c r="D50" s="4"/>
      <c r="E50" s="4"/>
      <c r="F50" s="4" t="s">
        <v>179</v>
      </c>
      <c r="G50" s="4" t="s">
        <v>180</v>
      </c>
      <c r="H50" s="4"/>
      <c r="I50" s="5" t="s">
        <v>157</v>
      </c>
      <c r="J50" s="5" t="s">
        <v>116</v>
      </c>
      <c r="K50" s="10">
        <f t="shared" ref="K50:K56" si="4">IF(AND(J50="EI",I50="简单"),3,IF(AND(J50="EI",I50="普通"),4,IF(AND(J50="EI",I50="复杂"),6,IF(AND(J50="EO",I50="简单"),4,IF(AND(J50="EO",I50="普通"),5,IF(AND(J50="EO",I50="复杂"),7,IF(AND(J50="EQ",I50="简单"),3,IF(AND(J50="EQ",I50="普通"),4,IF(AND(J50="EQ",I50="复杂"),6,IF(AND(J50="ILF",I50="简单"),7,IF(AND(J50="ILF",I50="普通"),10,IF(AND(J50="ILF",I50="复杂"),15,IF(AND(J50="EIF",I50="简单"),5,IF(AND(J50="EIF",I50="普通"),7,IF(AND(J50="EIF",I50="复杂"),10,0)))))))))))))))</f>
        <v>10</v>
      </c>
    </row>
    <row r="51" spans="2:11" ht="13.5">
      <c r="B51" s="5"/>
      <c r="C51" s="5"/>
      <c r="D51" s="4"/>
      <c r="E51" s="4"/>
      <c r="F51" s="4"/>
      <c r="G51" s="4" t="s">
        <v>181</v>
      </c>
      <c r="H51" s="4"/>
      <c r="I51" s="5" t="s">
        <v>157</v>
      </c>
      <c r="J51" s="5" t="s">
        <v>119</v>
      </c>
      <c r="K51" s="10">
        <f t="shared" si="4"/>
        <v>4</v>
      </c>
    </row>
    <row r="52" spans="2:11" ht="13.5">
      <c r="B52" s="5"/>
      <c r="C52" s="5"/>
      <c r="D52" s="4"/>
      <c r="E52" s="4"/>
      <c r="F52" s="4"/>
      <c r="G52" s="4" t="s">
        <v>182</v>
      </c>
      <c r="H52" s="4"/>
      <c r="I52" s="5" t="s">
        <v>157</v>
      </c>
      <c r="J52" s="5" t="s">
        <v>119</v>
      </c>
      <c r="K52" s="10">
        <f t="shared" si="4"/>
        <v>4</v>
      </c>
    </row>
    <row r="53" spans="2:11" ht="13.5">
      <c r="B53" s="5"/>
      <c r="C53" s="5"/>
      <c r="D53" s="4"/>
      <c r="E53" s="4"/>
      <c r="F53" s="4"/>
      <c r="G53" s="4" t="s">
        <v>160</v>
      </c>
      <c r="H53" s="4"/>
      <c r="I53" s="5" t="s">
        <v>157</v>
      </c>
      <c r="J53" s="5" t="s">
        <v>126</v>
      </c>
      <c r="K53" s="10">
        <f t="shared" si="4"/>
        <v>5</v>
      </c>
    </row>
    <row r="54" spans="2:11" ht="13.5">
      <c r="B54" s="5"/>
      <c r="C54" s="5"/>
      <c r="D54" s="4"/>
      <c r="E54" s="4"/>
      <c r="F54" s="4"/>
      <c r="G54" s="4"/>
      <c r="H54" s="4" t="s">
        <v>166</v>
      </c>
      <c r="I54" s="5"/>
      <c r="J54" s="5"/>
      <c r="K54" s="10"/>
    </row>
    <row r="55" spans="2:11" ht="13.5">
      <c r="B55" s="5"/>
      <c r="C55" s="5"/>
      <c r="D55" s="4"/>
      <c r="E55" s="4"/>
      <c r="F55" s="4"/>
      <c r="G55" s="4"/>
      <c r="H55" s="4" t="s">
        <v>183</v>
      </c>
      <c r="I55" s="5"/>
      <c r="J55" s="5"/>
      <c r="K55" s="10"/>
    </row>
    <row r="56" spans="2:11" ht="13.5">
      <c r="B56" s="5"/>
      <c r="C56" s="5"/>
      <c r="D56" s="4"/>
      <c r="E56" s="4"/>
      <c r="F56" s="4"/>
      <c r="G56" s="4" t="s">
        <v>162</v>
      </c>
      <c r="H56" s="4"/>
      <c r="I56" s="5" t="s">
        <v>164</v>
      </c>
      <c r="J56" s="5" t="s">
        <v>165</v>
      </c>
      <c r="K56" s="10">
        <f t="shared" si="4"/>
        <v>10</v>
      </c>
    </row>
    <row r="57" spans="2:11" ht="13.5">
      <c r="B57" s="5"/>
      <c r="C57" s="5"/>
      <c r="D57" s="4" t="s">
        <v>184</v>
      </c>
      <c r="E57" s="4"/>
      <c r="F57" s="4" t="s">
        <v>184</v>
      </c>
      <c r="G57" s="4" t="s">
        <v>185</v>
      </c>
      <c r="H57" s="4"/>
      <c r="I57" s="5" t="s">
        <v>157</v>
      </c>
      <c r="J57" s="5" t="s">
        <v>116</v>
      </c>
      <c r="K57" s="10">
        <f t="shared" ref="K57:K63" si="5">IF(AND(J57="EI",I57="简单"),3,IF(AND(J57="EI",I57="普通"),4,IF(AND(J57="EI",I57="复杂"),6,IF(AND(J57="EO",I57="简单"),4,IF(AND(J57="EO",I57="普通"),5,IF(AND(J57="EO",I57="复杂"),7,IF(AND(J57="EQ",I57="简单"),3,IF(AND(J57="EQ",I57="普通"),4,IF(AND(J57="EQ",I57="复杂"),6,IF(AND(J57="ILF",I57="简单"),7,IF(AND(J57="ILF",I57="普通"),10,IF(AND(J57="ILF",I57="复杂"),15,IF(AND(J57="EIF",I57="简单"),5,IF(AND(J57="EIF",I57="普通"),7,IF(AND(J57="EIF",I57="复杂"),10,0)))))))))))))))</f>
        <v>10</v>
      </c>
    </row>
    <row r="58" spans="2:11" ht="13.5">
      <c r="B58" s="5"/>
      <c r="C58" s="5"/>
      <c r="D58" s="4"/>
      <c r="E58" s="4"/>
      <c r="F58" s="4"/>
      <c r="G58" s="4" t="s">
        <v>186</v>
      </c>
      <c r="H58" s="4" t="s">
        <v>187</v>
      </c>
      <c r="I58" s="5" t="s">
        <v>157</v>
      </c>
      <c r="J58" s="5" t="s">
        <v>119</v>
      </c>
      <c r="K58" s="10">
        <f t="shared" si="5"/>
        <v>4</v>
      </c>
    </row>
    <row r="59" spans="2:11" ht="14.25" customHeight="1">
      <c r="B59" s="5"/>
      <c r="C59" s="5"/>
      <c r="D59" s="4"/>
      <c r="E59" s="4"/>
      <c r="F59" s="4"/>
      <c r="G59" s="4"/>
      <c r="H59" s="4" t="s">
        <v>188</v>
      </c>
      <c r="I59" s="5"/>
      <c r="J59" s="5"/>
      <c r="K59" s="10"/>
    </row>
    <row r="60" spans="2:11" ht="14.25" customHeight="1">
      <c r="B60" s="5"/>
      <c r="C60" s="5"/>
      <c r="D60" s="4"/>
      <c r="E60" s="4"/>
      <c r="F60" s="4"/>
      <c r="G60" s="4"/>
      <c r="H60" s="4" t="s">
        <v>189</v>
      </c>
      <c r="I60" s="5"/>
      <c r="J60" s="5"/>
      <c r="K60" s="10"/>
    </row>
    <row r="61" spans="2:11" ht="14.25" customHeight="1">
      <c r="B61" s="5"/>
      <c r="C61" s="5"/>
      <c r="D61" s="4"/>
      <c r="E61" s="4"/>
      <c r="F61" s="4"/>
      <c r="G61" s="4"/>
      <c r="H61" s="4" t="s">
        <v>190</v>
      </c>
      <c r="I61" s="5"/>
      <c r="J61" s="5"/>
      <c r="K61" s="10"/>
    </row>
    <row r="62" spans="2:11" ht="13.5">
      <c r="B62" s="5"/>
      <c r="C62" s="5"/>
      <c r="D62" s="4"/>
      <c r="E62" s="4"/>
      <c r="F62" s="4"/>
      <c r="G62" s="4" t="s">
        <v>191</v>
      </c>
      <c r="H62" s="6"/>
      <c r="I62" s="5" t="s">
        <v>157</v>
      </c>
      <c r="J62" s="5" t="s">
        <v>119</v>
      </c>
      <c r="K62" s="10">
        <f t="shared" si="5"/>
        <v>4</v>
      </c>
    </row>
    <row r="63" spans="2:11" ht="13.5">
      <c r="B63" s="5"/>
      <c r="C63" s="5"/>
      <c r="D63" s="4"/>
      <c r="E63" s="4"/>
      <c r="F63" s="4"/>
      <c r="G63" s="4" t="s">
        <v>192</v>
      </c>
      <c r="H63" s="6"/>
      <c r="I63" s="5" t="s">
        <v>157</v>
      </c>
      <c r="J63" s="5" t="s">
        <v>126</v>
      </c>
      <c r="K63" s="10">
        <f t="shared" si="5"/>
        <v>5</v>
      </c>
    </row>
    <row r="64" spans="2:11" ht="13.5">
      <c r="B64" s="5"/>
      <c r="C64" s="5"/>
      <c r="D64" s="4"/>
      <c r="E64" s="4"/>
      <c r="F64" s="4"/>
      <c r="G64" s="4" t="s">
        <v>193</v>
      </c>
      <c r="H64" s="6"/>
      <c r="I64" s="5" t="s">
        <v>164</v>
      </c>
      <c r="J64" s="5" t="s">
        <v>165</v>
      </c>
      <c r="K64" s="10">
        <f t="shared" ref="K64" si="6">IF(AND(J64="EI",I64="简单"),3,IF(AND(J64="EI",I64="普通"),4,IF(AND(J64="EI",I64="复杂"),6,IF(AND(J64="EO",I64="简单"),4,IF(AND(J64="EO",I64="普通"),5,IF(AND(J64="EO",I64="复杂"),7,IF(AND(J64="EQ",I64="简单"),3,IF(AND(J64="EQ",I64="普通"),4,IF(AND(J64="EQ",I64="复杂"),6,IF(AND(J64="ILF",I64="简单"),7,IF(AND(J64="ILF",I64="普通"),10,IF(AND(J64="ILF",I64="复杂"),15,IF(AND(J64="EIF",I64="简单"),5,IF(AND(J64="EIF",I64="普通"),7,IF(AND(J64="EIF",I64="复杂"),10,0)))))))))))))))</f>
        <v>10</v>
      </c>
    </row>
    <row r="65" spans="2:11" ht="13.5">
      <c r="B65" s="35"/>
      <c r="C65" s="35"/>
      <c r="D65" s="4" t="s">
        <v>194</v>
      </c>
      <c r="E65" s="4"/>
      <c r="F65" s="4" t="s">
        <v>195</v>
      </c>
      <c r="G65" s="4" t="s">
        <v>196</v>
      </c>
      <c r="H65" s="4"/>
      <c r="I65" s="5" t="s">
        <v>157</v>
      </c>
      <c r="J65" s="5" t="s">
        <v>116</v>
      </c>
      <c r="K65" s="10">
        <f t="shared" si="0"/>
        <v>10</v>
      </c>
    </row>
    <row r="66" spans="2:11" ht="13.5">
      <c r="B66" s="5"/>
      <c r="C66" s="5"/>
      <c r="D66" s="4"/>
      <c r="E66" s="4"/>
      <c r="F66" s="4"/>
      <c r="G66" s="4" t="s">
        <v>197</v>
      </c>
      <c r="H66" s="4"/>
      <c r="I66" s="5" t="s">
        <v>115</v>
      </c>
      <c r="J66" s="5" t="s">
        <v>119</v>
      </c>
      <c r="K66" s="10">
        <f t="shared" si="0"/>
        <v>3</v>
      </c>
    </row>
    <row r="67" spans="2:11" ht="13.5">
      <c r="B67" s="5"/>
      <c r="C67" s="5"/>
      <c r="D67" s="4"/>
      <c r="E67" s="4"/>
      <c r="F67" s="4"/>
      <c r="G67" s="4"/>
      <c r="H67" s="4" t="s">
        <v>188</v>
      </c>
      <c r="I67" s="5"/>
      <c r="J67" s="5"/>
      <c r="K67" s="10"/>
    </row>
    <row r="68" spans="2:11" ht="13.5">
      <c r="B68" s="5"/>
      <c r="C68" s="5"/>
      <c r="D68" s="4"/>
      <c r="E68" s="4"/>
      <c r="F68" s="4"/>
      <c r="G68" s="4"/>
      <c r="H68" s="4" t="s">
        <v>189</v>
      </c>
      <c r="I68" s="5"/>
      <c r="J68" s="5"/>
      <c r="K68" s="10"/>
    </row>
    <row r="69" spans="2:11" ht="13.5">
      <c r="B69" s="5"/>
      <c r="C69" s="5"/>
      <c r="D69" s="4"/>
      <c r="E69" s="4"/>
      <c r="F69" s="4"/>
      <c r="G69" s="4"/>
      <c r="H69" s="4" t="s">
        <v>190</v>
      </c>
      <c r="I69" s="5"/>
      <c r="J69" s="5"/>
      <c r="K69" s="10"/>
    </row>
    <row r="70" spans="2:11" ht="13.5">
      <c r="B70" s="5"/>
      <c r="C70" s="5"/>
      <c r="D70" s="4"/>
      <c r="E70" s="4"/>
      <c r="F70" s="4"/>
      <c r="G70" s="4" t="s">
        <v>198</v>
      </c>
      <c r="H70" s="4"/>
      <c r="I70" s="5" t="s">
        <v>115</v>
      </c>
      <c r="J70" s="5" t="s">
        <v>119</v>
      </c>
      <c r="K70" s="10">
        <f t="shared" si="0"/>
        <v>3</v>
      </c>
    </row>
    <row r="71" spans="2:11" ht="13.5">
      <c r="B71" s="5"/>
      <c r="C71" s="5"/>
      <c r="D71" s="4"/>
      <c r="E71" s="4"/>
      <c r="F71" s="4"/>
      <c r="G71" s="4" t="s">
        <v>199</v>
      </c>
      <c r="H71" s="4"/>
      <c r="I71" s="5" t="s">
        <v>164</v>
      </c>
      <c r="J71" s="5" t="s">
        <v>126</v>
      </c>
      <c r="K71" s="10">
        <f t="shared" si="0"/>
        <v>7</v>
      </c>
    </row>
    <row r="72" spans="2:11" ht="13.5">
      <c r="B72" s="5"/>
      <c r="C72" s="5"/>
      <c r="D72" s="4"/>
      <c r="E72" s="4"/>
      <c r="F72" s="4"/>
      <c r="G72" s="4" t="s">
        <v>200</v>
      </c>
      <c r="H72" s="4"/>
      <c r="I72" s="5" t="s">
        <v>157</v>
      </c>
      <c r="J72" s="5" t="s">
        <v>201</v>
      </c>
      <c r="K72" s="10">
        <f t="shared" si="0"/>
        <v>4</v>
      </c>
    </row>
    <row r="73" spans="2:11" ht="13.5">
      <c r="B73" s="5"/>
      <c r="C73" s="5"/>
      <c r="D73" s="4"/>
      <c r="E73" s="4"/>
      <c r="F73" s="4" t="s">
        <v>202</v>
      </c>
      <c r="G73" s="4" t="s">
        <v>203</v>
      </c>
      <c r="H73" s="4"/>
      <c r="I73" s="5" t="s">
        <v>157</v>
      </c>
      <c r="J73" s="5" t="s">
        <v>116</v>
      </c>
      <c r="K73" s="10">
        <f t="shared" ref="K73:K79" si="7">IF(AND(J73="EI",I73="简单"),3,IF(AND(J73="EI",I73="普通"),4,IF(AND(J73="EI",I73="复杂"),6,IF(AND(J73="EO",I73="简单"),4,IF(AND(J73="EO",I73="普通"),5,IF(AND(J73="EO",I73="复杂"),7,IF(AND(J73="EQ",I73="简单"),3,IF(AND(J73="EQ",I73="普通"),4,IF(AND(J73="EQ",I73="复杂"),6,IF(AND(J73="ILF",I73="简单"),7,IF(AND(J73="ILF",I73="普通"),10,IF(AND(J73="ILF",I73="复杂"),15,IF(AND(J73="EIF",I73="简单"),5,IF(AND(J73="EIF",I73="普通"),7,IF(AND(J73="EIF",I73="复杂"),10,0)))))))))))))))</f>
        <v>10</v>
      </c>
    </row>
    <row r="74" spans="2:11" ht="13.5">
      <c r="B74" s="5"/>
      <c r="C74" s="5"/>
      <c r="D74" s="4"/>
      <c r="E74" s="4"/>
      <c r="F74" s="4"/>
      <c r="G74" s="4" t="s">
        <v>204</v>
      </c>
      <c r="H74" s="4"/>
      <c r="I74" s="5" t="s">
        <v>157</v>
      </c>
      <c r="J74" s="5" t="s">
        <v>119</v>
      </c>
      <c r="K74" s="10">
        <f t="shared" si="7"/>
        <v>4</v>
      </c>
    </row>
    <row r="75" spans="2:11" ht="13.5">
      <c r="B75" s="5"/>
      <c r="C75" s="5"/>
      <c r="D75" s="4"/>
      <c r="E75" s="4"/>
      <c r="F75" s="4"/>
      <c r="G75" s="4" t="s">
        <v>205</v>
      </c>
      <c r="H75" s="4"/>
      <c r="I75" s="5"/>
      <c r="J75" s="5"/>
      <c r="K75" s="10"/>
    </row>
    <row r="76" spans="2:11" ht="13.5">
      <c r="B76" s="5"/>
      <c r="C76" s="5"/>
      <c r="D76" s="4"/>
      <c r="E76" s="4"/>
      <c r="F76" s="4"/>
      <c r="G76" s="4" t="s">
        <v>206</v>
      </c>
      <c r="H76" s="4"/>
      <c r="I76" s="5"/>
      <c r="J76" s="5"/>
      <c r="K76" s="10"/>
    </row>
    <row r="77" spans="2:11" ht="13.5">
      <c r="B77" s="5"/>
      <c r="C77" s="5"/>
      <c r="D77" s="4"/>
      <c r="E77" s="4"/>
      <c r="F77" s="4"/>
      <c r="G77" s="4" t="s">
        <v>207</v>
      </c>
      <c r="H77" s="4"/>
      <c r="I77" s="5"/>
      <c r="J77" s="5"/>
      <c r="K77" s="10"/>
    </row>
    <row r="78" spans="2:11" ht="13.5">
      <c r="B78" s="5"/>
      <c r="C78" s="5"/>
      <c r="D78" s="4"/>
      <c r="E78" s="4"/>
      <c r="F78" s="4"/>
      <c r="G78" s="4" t="s">
        <v>208</v>
      </c>
      <c r="H78" s="4"/>
      <c r="I78" s="5" t="s">
        <v>157</v>
      </c>
      <c r="J78" s="5" t="s">
        <v>119</v>
      </c>
      <c r="K78" s="10">
        <f t="shared" si="7"/>
        <v>4</v>
      </c>
    </row>
    <row r="79" spans="2:11" ht="13.5">
      <c r="B79" s="5"/>
      <c r="C79" s="5"/>
      <c r="D79" s="4"/>
      <c r="E79" s="4"/>
      <c r="F79" s="4"/>
      <c r="G79" s="4" t="s">
        <v>209</v>
      </c>
      <c r="H79" s="4"/>
      <c r="I79" s="5" t="s">
        <v>157</v>
      </c>
      <c r="J79" s="5" t="s">
        <v>126</v>
      </c>
      <c r="K79" s="10">
        <f t="shared" si="7"/>
        <v>5</v>
      </c>
    </row>
    <row r="80" spans="2:11" ht="13.5">
      <c r="I80" s="5" t="s">
        <v>157</v>
      </c>
      <c r="J80" s="5" t="s">
        <v>116</v>
      </c>
      <c r="K80" s="10">
        <f t="shared" si="0"/>
        <v>10</v>
      </c>
    </row>
    <row r="81" spans="9:11" ht="13.5">
      <c r="I81" s="5" t="s">
        <v>157</v>
      </c>
      <c r="J81" s="5" t="s">
        <v>126</v>
      </c>
      <c r="K81" s="10">
        <f t="shared" si="0"/>
        <v>5</v>
      </c>
    </row>
    <row r="82" spans="9:11" ht="13.5">
      <c r="I82" s="5" t="s">
        <v>157</v>
      </c>
      <c r="J82" s="5" t="s">
        <v>126</v>
      </c>
      <c r="K82" s="10">
        <f t="shared" si="0"/>
        <v>5</v>
      </c>
    </row>
    <row r="83" spans="9:11" ht="13.5">
      <c r="I83" s="5" t="s">
        <v>157</v>
      </c>
      <c r="J83" s="5" t="s">
        <v>126</v>
      </c>
      <c r="K83" s="10">
        <f t="shared" si="0"/>
        <v>5</v>
      </c>
    </row>
    <row r="84" spans="9:11" ht="13.5">
      <c r="I84" s="5" t="s">
        <v>164</v>
      </c>
      <c r="J84" s="5" t="s">
        <v>165</v>
      </c>
      <c r="K84" s="10">
        <f t="shared" si="0"/>
        <v>10</v>
      </c>
    </row>
    <row r="85" spans="9:11" ht="13.5">
      <c r="I85" s="5" t="s">
        <v>157</v>
      </c>
      <c r="J85" s="5" t="s">
        <v>126</v>
      </c>
      <c r="K85" s="10">
        <f t="shared" si="0"/>
        <v>5</v>
      </c>
    </row>
    <row r="86" spans="9:11" ht="13.5">
      <c r="I86" s="5" t="s">
        <v>157</v>
      </c>
      <c r="J86" s="5" t="s">
        <v>201</v>
      </c>
      <c r="K86" s="10">
        <f t="shared" si="0"/>
        <v>4</v>
      </c>
    </row>
    <row r="87" spans="9:11" ht="13.5">
      <c r="I87" s="5"/>
      <c r="J87" s="5"/>
      <c r="K87" s="10"/>
    </row>
    <row r="88" spans="9:11" ht="13.5">
      <c r="I88" s="5"/>
      <c r="J88" s="5"/>
      <c r="K88" s="10"/>
    </row>
    <row r="89" spans="9:11" ht="13.5">
      <c r="I89" s="5"/>
      <c r="J89" s="5"/>
      <c r="K89" s="10"/>
    </row>
    <row r="90" spans="9:11" ht="13.5">
      <c r="I90" s="5"/>
      <c r="J90" s="5"/>
      <c r="K90" s="10"/>
    </row>
    <row r="91" spans="9:11" ht="13.5">
      <c r="I91" s="5"/>
      <c r="J91" s="5"/>
      <c r="K91" s="10"/>
    </row>
    <row r="92" spans="9:11" ht="13.5">
      <c r="I92" s="5"/>
      <c r="J92" s="5"/>
      <c r="K92" s="10"/>
    </row>
    <row r="93" spans="9:11" ht="13.5">
      <c r="I93" s="5"/>
      <c r="J93" s="5"/>
      <c r="K93" s="10"/>
    </row>
    <row r="94" spans="9:11" ht="13.5">
      <c r="I94" s="5"/>
      <c r="J94" s="5"/>
      <c r="K94" s="10"/>
    </row>
    <row r="95" spans="9:11" ht="13.5">
      <c r="I95" s="5"/>
      <c r="J95" s="5"/>
      <c r="K95" s="10"/>
    </row>
    <row r="96" spans="9:11" ht="13.5">
      <c r="I96" s="5"/>
      <c r="J96" s="5"/>
      <c r="K96" s="10"/>
    </row>
    <row r="97" spans="9:11" ht="13.5">
      <c r="I97" s="5"/>
      <c r="J97" s="5"/>
      <c r="K97" s="10"/>
    </row>
    <row r="98" spans="9:11" ht="13.5">
      <c r="I98" s="5" t="s">
        <v>157</v>
      </c>
      <c r="J98" s="5" t="s">
        <v>126</v>
      </c>
      <c r="K98" s="10">
        <f t="shared" si="0"/>
        <v>5</v>
      </c>
    </row>
    <row r="99" spans="9:11" ht="13.5" hidden="1">
      <c r="I99" s="4"/>
      <c r="J99" s="4"/>
      <c r="K99" s="12"/>
    </row>
    <row r="100" spans="9:11" ht="13.5">
      <c r="I100" s="13"/>
      <c r="J100" s="13"/>
      <c r="K100" s="14"/>
    </row>
  </sheetData>
  <autoFilter ref="B6:K99"/>
  <mergeCells count="48">
    <mergeCell ref="B22:C22"/>
    <mergeCell ref="M23:N23"/>
    <mergeCell ref="O23:P23"/>
    <mergeCell ref="B27:C27"/>
    <mergeCell ref="B65:C65"/>
    <mergeCell ref="M18:N18"/>
    <mergeCell ref="O18:P18"/>
    <mergeCell ref="M19:N19"/>
    <mergeCell ref="O19:P19"/>
    <mergeCell ref="M20:P20"/>
    <mergeCell ref="M16:N16"/>
    <mergeCell ref="O16:P16"/>
    <mergeCell ref="B17:C17"/>
    <mergeCell ref="M17:N17"/>
    <mergeCell ref="O17:P17"/>
    <mergeCell ref="M13:N13"/>
    <mergeCell ref="O13:P13"/>
    <mergeCell ref="M14:N14"/>
    <mergeCell ref="O14:P14"/>
    <mergeCell ref="M15:N15"/>
    <mergeCell ref="O15:P15"/>
    <mergeCell ref="M11:N11"/>
    <mergeCell ref="O11:P11"/>
    <mergeCell ref="B12:C12"/>
    <mergeCell ref="M12:N12"/>
    <mergeCell ref="O12:P12"/>
    <mergeCell ref="M8:N8"/>
    <mergeCell ref="O8:P8"/>
    <mergeCell ref="M9:N9"/>
    <mergeCell ref="O9:P9"/>
    <mergeCell ref="M10:N10"/>
    <mergeCell ref="O10:P10"/>
    <mergeCell ref="B6:C6"/>
    <mergeCell ref="D6:E6"/>
    <mergeCell ref="M6:N6"/>
    <mergeCell ref="O6:P6"/>
    <mergeCell ref="B7:C7"/>
    <mergeCell ref="D7:E7"/>
    <mergeCell ref="M7:N7"/>
    <mergeCell ref="O7:P7"/>
    <mergeCell ref="B3:K3"/>
    <mergeCell ref="B4:I4"/>
    <mergeCell ref="J4:K4"/>
    <mergeCell ref="M4:R4"/>
    <mergeCell ref="B5:C5"/>
    <mergeCell ref="D5:J5"/>
    <mergeCell ref="M5:N5"/>
    <mergeCell ref="O5:P5"/>
  </mergeCells>
  <phoneticPr fontId="32" type="noConversion"/>
  <dataValidations count="3">
    <dataValidation type="list" allowBlank="1" showInputMessage="1" showErrorMessage="1" sqref="I7:I98">
      <formula1>"复杂,普通,简单"</formula1>
    </dataValidation>
    <dataValidation type="list" allowBlank="1" showInputMessage="1" showErrorMessage="1" sqref="J7:J98">
      <formula1>"EI,EO,EQ,ILF,EIF"</formula1>
    </dataValidation>
    <dataValidation type="list" allowBlank="1" showErrorMessage="1" sqref="Q6:Q19">
      <formula1>"0,1,2,3,4,5"</formula1>
    </dataValidation>
  </dataValidations>
  <pageMargins left="0.69930555555555596" right="0.69930555555555596" top="0.75" bottom="0.75" header="0.3" footer="0.3"/>
  <pageSetup paperSize="9" orientation="portrait" horizontalDpi="2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前台功能点</vt:lpstr>
      <vt:lpstr>后台功能点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</cp:lastModifiedBy>
  <dcterms:created xsi:type="dcterms:W3CDTF">1996-12-17T01:32:00Z</dcterms:created>
  <dcterms:modified xsi:type="dcterms:W3CDTF">2016-12-14T08:35:07Z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2052-10.1.0.6028</vt:lpwstr>
  </property>
</Properties>
</file>